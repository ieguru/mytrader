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5C2313A5-79DC-454E-9DFB-C3142C584423}" xr6:coauthVersionLast="47" xr6:coauthVersionMax="47" xr10:uidLastSave="{00000000-0000-0000-0000-000000000000}"/>
  <bookViews>
    <workbookView xWindow="2078" yWindow="2085" windowWidth="15420" windowHeight="9960" xr2:uid="{9932730E-C7A8-4520-9866-4FD08128D9E6}"/>
  </bookViews>
  <sheets>
    <sheet name="IS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F2" i="1" s="1"/>
</calcChain>
</file>

<file path=xl/sharedStrings.xml><?xml version="1.0" encoding="utf-8"?>
<sst xmlns="http://schemas.openxmlformats.org/spreadsheetml/2006/main" count="32" uniqueCount="32">
  <si>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</si>
  <si>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</si>
  <si>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</si>
  <si>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</si>
  <si>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</si>
  <si>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</si>
  <si>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</si>
  <si>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</si>
  <si>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</si>
  <si>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</si>
  <si>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</si>
  <si>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</si>
  <si>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</si>
  <si>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</si>
  <si>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</si>
  <si>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</si>
  <si>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</si>
  <si>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</si>
  <si>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</si>
  <si>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</si>
  <si>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</si>
  <si>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</si>
  <si>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</si>
  <si>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</si>
  <si>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4Q_income</t>
  </si>
  <si>
    <t>목표가</t>
  </si>
  <si>
    <t>2025.2Q</t>
    <phoneticPr fontId="18" type="noConversion"/>
  </si>
  <si>
    <t>상장주식수</t>
  </si>
  <si>
    <t>2025.3Q</t>
    <phoneticPr fontId="18" type="noConversion"/>
  </si>
  <si>
    <t>2025.4Q</t>
    <phoneticPr fontId="18" type="noConversion"/>
  </si>
  <si>
    <t>2026.2Q</t>
    <phoneticPr fontId="18" type="noConversion"/>
  </si>
  <si>
    <t>2026.1Q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</si>
</sst>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4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9F97-BCFD-488B-902E-FB10336D3A6E}">
  <dimension ref="A1:F27"/>
  <sheetViews>
    <sheetView tabSelected="1" zoomScale="85" zoomScaleNormal="85" workbookViewId="0">
      <selection activeCell="F27" sqref="F27"/>
    </sheetView>
  </sheetViews>
  <sheetFormatPr defaultRowHeight="16.899999999999999" x14ac:dyDescent="0.6"/>
  <cols>
    <col min="2" max="2" width="10.25" bestFit="1" customWidth="1"/>
  </cols>
  <sheetData>
    <row r="1" spans="1:6" x14ac:dyDescent="0.6">
      <c r="A1" t="s">
        <v>0</v>
      </c>
      <c r="B1" t="s">
        <v>27</v>
      </c>
      <c r="C1" t="s">
        <v>1</v>
      </c>
      <c r="D1" t="s">
        <v>2</v>
      </c>
      <c r="E1" t="s">
        <v>24</v>
      </c>
      <c r="F1" t="s">
        <v>25</v>
      </c>
    </row>
    <row r="2" spans="1:6" x14ac:dyDescent="0.6">
      <c r="A2" t="s">
        <v>30</v>
      </c>
      <c r="B2" s="2">
        <v>21197058</v>
      </c>
      <c r="C2" s="3">
        <v>193</v>
      </c>
      <c r="D2">
        <v>198</v>
      </c>
      <c r="E2">
        <f>(C2*2+C3*2)</f>
        <v>744</v>
      </c>
      <c r="F2" s="1">
        <f>E2*100000000/B2*7</f>
        <v>24569.447326133653</v>
      </c>
    </row>
    <row r="3" spans="1:6" x14ac:dyDescent="0.6">
      <c r="A3" t="s">
        <v>31</v>
      </c>
      <c r="B3" s="2">
        <v>21197058</v>
      </c>
      <c r="C3" s="3">
        <v>179</v>
      </c>
      <c r="D3">
        <v>162</v>
      </c>
      <c r="E3">
        <f>(C2*2+C3*2)</f>
        <v>744</v>
      </c>
      <c r="F3" s="1">
        <f t="shared" ref="F3:F25" si="0">E3*100000000/B3*7</f>
        <v>24569.447326133653</v>
      </c>
    </row>
    <row r="4" spans="1:6" x14ac:dyDescent="0.6">
      <c r="A4" t="s">
        <v>29</v>
      </c>
      <c r="B4" s="2">
        <v>21197058</v>
      </c>
      <c r="C4" s="3">
        <v>177</v>
      </c>
      <c r="D4">
        <v>184</v>
      </c>
      <c r="E4">
        <f>(C3*2+C4+C2)</f>
        <v>728</v>
      </c>
      <c r="F4" s="1">
        <f t="shared" si="0"/>
        <v>24041.072114818951</v>
      </c>
    </row>
    <row r="5" spans="1:6" x14ac:dyDescent="0.6">
      <c r="A5" t="s">
        <v>28</v>
      </c>
      <c r="B5" s="2">
        <v>21197058</v>
      </c>
      <c r="C5" s="3">
        <v>174</v>
      </c>
      <c r="D5">
        <v>160</v>
      </c>
      <c r="E5">
        <f>(C3+C4+C5*2)</f>
        <v>704</v>
      </c>
      <c r="F5" s="1">
        <f t="shared" si="0"/>
        <v>23248.5092978469</v>
      </c>
    </row>
    <row r="6" spans="1:6" x14ac:dyDescent="0.6">
      <c r="A6" t="s">
        <v>26</v>
      </c>
      <c r="B6" s="2">
        <v>21197058</v>
      </c>
      <c r="C6" s="3">
        <v>137</v>
      </c>
      <c r="D6">
        <v>115</v>
      </c>
      <c r="E6">
        <f t="shared" ref="E6:E25" si="1">(C4+C5+C6*2)</f>
        <v>625</v>
      </c>
      <c r="F6" s="1">
        <f t="shared" si="0"/>
        <v>20639.656691980555</v>
      </c>
    </row>
    <row r="7" spans="1:6" x14ac:dyDescent="0.6">
      <c r="A7" t="s">
        <v>3</v>
      </c>
      <c r="B7" s="2">
        <v>21197058</v>
      </c>
      <c r="C7" s="3">
        <v>70</v>
      </c>
      <c r="D7">
        <v>68</v>
      </c>
      <c r="E7">
        <f t="shared" si="1"/>
        <v>451</v>
      </c>
      <c r="F7" s="1">
        <f t="shared" si="0"/>
        <v>14893.57626893317</v>
      </c>
    </row>
    <row r="8" spans="1:6" x14ac:dyDescent="0.6">
      <c r="A8" t="s">
        <v>4</v>
      </c>
      <c r="B8" s="2">
        <v>21197058</v>
      </c>
      <c r="C8">
        <v>75</v>
      </c>
      <c r="D8">
        <v>117</v>
      </c>
      <c r="E8">
        <f t="shared" si="1"/>
        <v>357</v>
      </c>
      <c r="F8" s="1">
        <f t="shared" si="0"/>
        <v>11789.371902459294</v>
      </c>
    </row>
    <row r="9" spans="1:6" x14ac:dyDescent="0.6">
      <c r="A9" t="s">
        <v>5</v>
      </c>
      <c r="B9" s="2">
        <v>21197058</v>
      </c>
      <c r="C9">
        <v>138</v>
      </c>
      <c r="D9">
        <v>112</v>
      </c>
      <c r="E9">
        <f t="shared" si="1"/>
        <v>421</v>
      </c>
      <c r="F9" s="1">
        <f t="shared" si="0"/>
        <v>13902.872747718104</v>
      </c>
    </row>
    <row r="10" spans="1:6" x14ac:dyDescent="0.6">
      <c r="A10" t="s">
        <v>6</v>
      </c>
      <c r="B10" s="2">
        <v>21197058</v>
      </c>
      <c r="C10">
        <v>149</v>
      </c>
      <c r="D10">
        <v>161</v>
      </c>
      <c r="E10">
        <f t="shared" si="1"/>
        <v>511</v>
      </c>
      <c r="F10" s="1">
        <f t="shared" si="0"/>
        <v>16874.983311363303</v>
      </c>
    </row>
    <row r="11" spans="1:6" x14ac:dyDescent="0.6">
      <c r="A11" t="s">
        <v>7</v>
      </c>
      <c r="B11" s="2">
        <v>21197058</v>
      </c>
      <c r="C11">
        <v>86</v>
      </c>
      <c r="D11">
        <v>158</v>
      </c>
      <c r="E11">
        <f t="shared" si="1"/>
        <v>459</v>
      </c>
      <c r="F11" s="1">
        <f t="shared" si="0"/>
        <v>15157.763874590521</v>
      </c>
    </row>
    <row r="12" spans="1:6" x14ac:dyDescent="0.6">
      <c r="A12" t="s">
        <v>8</v>
      </c>
      <c r="B12" s="2">
        <v>21197058</v>
      </c>
      <c r="C12">
        <v>25</v>
      </c>
      <c r="D12">
        <v>19</v>
      </c>
      <c r="E12">
        <f t="shared" si="1"/>
        <v>285</v>
      </c>
      <c r="F12" s="1">
        <f t="shared" si="0"/>
        <v>9411.6834515431328</v>
      </c>
    </row>
    <row r="13" spans="1:6" x14ac:dyDescent="0.6">
      <c r="A13" t="s">
        <v>9</v>
      </c>
      <c r="B13" s="2">
        <v>21197058</v>
      </c>
      <c r="C13">
        <v>-80</v>
      </c>
      <c r="D13">
        <v>-44</v>
      </c>
      <c r="E13">
        <f t="shared" si="1"/>
        <v>-49</v>
      </c>
      <c r="F13" s="1">
        <f t="shared" si="0"/>
        <v>-1618.1490846512756</v>
      </c>
    </row>
    <row r="14" spans="1:6" x14ac:dyDescent="0.6">
      <c r="A14" t="s">
        <v>10</v>
      </c>
      <c r="B14" s="2">
        <v>21197058</v>
      </c>
      <c r="C14">
        <v>65</v>
      </c>
      <c r="D14">
        <v>50</v>
      </c>
      <c r="E14">
        <f t="shared" si="1"/>
        <v>75</v>
      </c>
      <c r="F14" s="1">
        <f t="shared" si="0"/>
        <v>2476.7588030376669</v>
      </c>
    </row>
    <row r="15" spans="1:6" x14ac:dyDescent="0.6">
      <c r="A15" t="s">
        <v>11</v>
      </c>
      <c r="B15" s="2">
        <v>21197058</v>
      </c>
      <c r="C15">
        <v>98</v>
      </c>
      <c r="D15">
        <v>111</v>
      </c>
      <c r="E15">
        <f t="shared" si="1"/>
        <v>181</v>
      </c>
      <c r="F15" s="1">
        <f t="shared" si="0"/>
        <v>5977.2445779975696</v>
      </c>
    </row>
    <row r="16" spans="1:6" x14ac:dyDescent="0.6">
      <c r="A16" t="s">
        <v>12</v>
      </c>
      <c r="B16" s="2">
        <v>21197058</v>
      </c>
      <c r="C16">
        <v>15</v>
      </c>
      <c r="D16">
        <v>-75</v>
      </c>
      <c r="E16">
        <f t="shared" si="1"/>
        <v>193</v>
      </c>
      <c r="F16" s="1">
        <f t="shared" si="0"/>
        <v>6373.5259864835962</v>
      </c>
    </row>
    <row r="17" spans="1:6" x14ac:dyDescent="0.6">
      <c r="A17" t="s">
        <v>13</v>
      </c>
      <c r="B17" s="2">
        <v>21197058</v>
      </c>
      <c r="C17">
        <v>158</v>
      </c>
      <c r="D17">
        <v>167</v>
      </c>
      <c r="E17">
        <f t="shared" si="1"/>
        <v>429</v>
      </c>
      <c r="F17" s="1">
        <f t="shared" si="0"/>
        <v>14167.060353375455</v>
      </c>
    </row>
    <row r="18" spans="1:6" x14ac:dyDescent="0.6">
      <c r="A18" t="s">
        <v>14</v>
      </c>
      <c r="B18" s="2">
        <v>21197058</v>
      </c>
      <c r="C18">
        <v>226</v>
      </c>
      <c r="D18">
        <v>210</v>
      </c>
      <c r="E18">
        <f t="shared" si="1"/>
        <v>625</v>
      </c>
      <c r="F18" s="1">
        <f t="shared" si="0"/>
        <v>20639.656691980555</v>
      </c>
    </row>
    <row r="19" spans="1:6" x14ac:dyDescent="0.6">
      <c r="A19" t="s">
        <v>15</v>
      </c>
      <c r="B19" s="2">
        <v>21197058</v>
      </c>
      <c r="C19">
        <v>159</v>
      </c>
      <c r="D19">
        <v>138</v>
      </c>
      <c r="E19">
        <f t="shared" si="1"/>
        <v>702</v>
      </c>
      <c r="F19" s="1">
        <f t="shared" si="0"/>
        <v>23182.462396432562</v>
      </c>
    </row>
    <row r="20" spans="1:6" x14ac:dyDescent="0.6">
      <c r="A20" t="s">
        <v>16</v>
      </c>
      <c r="B20" s="2">
        <v>21197058</v>
      </c>
      <c r="C20">
        <v>84</v>
      </c>
      <c r="D20">
        <v>59</v>
      </c>
      <c r="E20">
        <f t="shared" si="1"/>
        <v>553</v>
      </c>
      <c r="F20" s="1">
        <f t="shared" si="0"/>
        <v>18261.968241064398</v>
      </c>
    </row>
    <row r="21" spans="1:6" x14ac:dyDescent="0.6">
      <c r="A21" t="s">
        <v>17</v>
      </c>
      <c r="B21" s="2">
        <v>21197058</v>
      </c>
      <c r="C21">
        <v>92</v>
      </c>
      <c r="D21">
        <v>68</v>
      </c>
      <c r="E21">
        <f t="shared" si="1"/>
        <v>427</v>
      </c>
      <c r="F21" s="1">
        <f t="shared" si="0"/>
        <v>14101.013451961117</v>
      </c>
    </row>
    <row r="22" spans="1:6" x14ac:dyDescent="0.6">
      <c r="A22" t="s">
        <v>18</v>
      </c>
      <c r="B22" s="2">
        <v>21197058</v>
      </c>
      <c r="C22">
        <v>134</v>
      </c>
      <c r="D22">
        <v>118</v>
      </c>
      <c r="E22">
        <f t="shared" si="1"/>
        <v>444</v>
      </c>
      <c r="F22" s="1">
        <f t="shared" si="0"/>
        <v>14662.412113982989</v>
      </c>
    </row>
    <row r="23" spans="1:6" x14ac:dyDescent="0.6">
      <c r="A23" t="s">
        <v>19</v>
      </c>
      <c r="B23" s="2">
        <v>21197058</v>
      </c>
      <c r="C23">
        <v>65</v>
      </c>
      <c r="D23">
        <v>56</v>
      </c>
      <c r="E23">
        <f t="shared" si="1"/>
        <v>356</v>
      </c>
      <c r="F23" s="1">
        <f t="shared" si="0"/>
        <v>11756.348451752125</v>
      </c>
    </row>
    <row r="24" spans="1:6" x14ac:dyDescent="0.6">
      <c r="A24" t="s">
        <v>20</v>
      </c>
      <c r="B24" s="2">
        <v>21197058</v>
      </c>
      <c r="C24">
        <v>4</v>
      </c>
      <c r="D24">
        <v>-76</v>
      </c>
      <c r="E24">
        <f t="shared" si="1"/>
        <v>207</v>
      </c>
      <c r="F24" s="1">
        <f t="shared" si="0"/>
        <v>6835.85429638396</v>
      </c>
    </row>
    <row r="25" spans="1:6" x14ac:dyDescent="0.6">
      <c r="A25" t="s">
        <v>21</v>
      </c>
      <c r="B25" s="2">
        <v>21197058</v>
      </c>
      <c r="C25">
        <v>41</v>
      </c>
      <c r="D25">
        <v>20</v>
      </c>
      <c r="E25">
        <f t="shared" si="1"/>
        <v>151</v>
      </c>
      <c r="F25" s="1">
        <f t="shared" si="0"/>
        <v>4986.541056782502</v>
      </c>
    </row>
    <row r="26" spans="1:6" x14ac:dyDescent="0.6">
      <c r="A26" t="s">
        <v>22</v>
      </c>
      <c r="B26" s="2">
        <v>21197058</v>
      </c>
      <c r="C26">
        <v>76</v>
      </c>
      <c r="D26">
        <v>54</v>
      </c>
      <c r="F26" s="1"/>
    </row>
    <row r="27" spans="1:6" x14ac:dyDescent="0.6">
      <c r="A27" t="s">
        <v>23</v>
      </c>
      <c r="B27" s="2">
        <v>21197058</v>
      </c>
      <c r="C27">
        <v>59</v>
      </c>
      <c r="D27">
        <v>56</v>
      </c>
      <c r="F27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2025-01-28T11:06:39Z</dcterms:created>
  <dcterms:modified xsi:type="dcterms:W3CDTF">2026-01-11T04:27:16Z</dcterms:modified>
</cp:coreProperties>
</file>