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4928FC18-6EA8-4794-BB9F-24AF988653AD}" xr6:coauthVersionLast="47" xr6:coauthVersionMax="47" xr10:uidLastSave="{00000000-0000-0000-0000-000000000000}"/>
  <bookViews>
    <workbookView xWindow="-98" yWindow="-98" windowWidth="28996" windowHeight="15675" xr2:uid="{C8D1CA31-9A8D-48BC-97FC-23CBA29A2F93}"/>
  </bookViews>
  <sheets>
    <sheet name="부국증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3" i="1"/>
  <c r="F24" i="1"/>
  <c r="F25" i="1"/>
  <c r="E4" i="1"/>
  <c r="F4" i="1" s="1"/>
  <c r="E3" i="1"/>
  <c r="F3" i="1" s="1"/>
  <c r="E2" i="1"/>
  <c r="F2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E23" i="1"/>
  <c r="E24" i="1"/>
  <c r="E25" i="1"/>
  <c r="E6" i="1"/>
  <c r="F6" i="1" s="1"/>
  <c r="E5" i="1"/>
  <c r="F5" i="1" s="1"/>
</calcChain>
</file>

<file path=xl/sharedStrings.xml><?xml version="1.0" encoding="utf-8"?>
<sst xmlns="http://schemas.openxmlformats.org/spreadsheetml/2006/main" count="30" uniqueCount="30">
  <si>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</si>
  <si>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</si>
  <si>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</si>
  <si>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</si>
  <si>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</si>
  <si>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</si>
  <si>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</si>
  <si>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</si>
  <si>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</si>
  <si>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</si>
  <si>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</si>
  <si>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</si>
  <si>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</si>
  <si>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</si>
  <si>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</si>
  <si>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</si>
  <si>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</si>
  <si>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</si>
  <si>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</si>
  <si>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</si>
  <si>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</si>
  <si>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</si>
  <si>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</si>
  <si>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</si>
  <si>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</si>
  <si>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</si>
  <si>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</si>
  <si>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</si>
  <si>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2020.3Q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</si>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</sst>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3" fontId="0" fillId="33" borderId="10" xfId="0" applyNumberFormat="1" applyFill="1" applyBorder="1">
      <alignment vertical="center"/>
    </xf>
    <xf numFmtId="41" fontId="0" fillId="33" borderId="10" xfId="42" applyFont="1" applyFill="1" applyBorder="1">
      <alignment vertical="center"/>
    </xf>
    <xf numFmtId="41" fontId="14" fillId="34" borderId="10" xfId="42" applyFont="1" applyFill="1" applyBorder="1">
      <alignment vertical="center"/>
    </xf>
    <xf numFmtId="41" fontId="19" fillId="33" borderId="10" xfId="42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5"/>
  <sheetViews>
    <sheetView tabSelected="1" workbookViewId="0">
      <selection activeCell="M16" sqref="M16"/>
    </sheetView>
  </sheetViews>
  <sheetFormatPr defaultRowHeight="16.899999999999999"/>
  <cols>
    <col min="2" max="2" width="11.3125" bestFit="1" customWidth="1"/>
    <col min="3" max="4" width="10" bestFit="1" customWidth="1"/>
    <col min="5" max="5" width="9.0625" bestFit="1" customWidth="1"/>
    <col min="6" max="6" width="11.1875" customWidth="1"/>
  </cols>
  <sheetData>
    <row r="1" spans="1: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>
      <c r="A2" s="2" t="s">
        <v>29</v>
      </c>
      <c r="B2" s="3">
        <v>10369886</v>
      </c>
      <c r="C2" s="5">
        <v>139</v>
      </c>
      <c r="D2" s="5">
        <v>105</v>
      </c>
      <c r="E2" s="4">
        <f>(C2*2+C3*2)</f>
        <v>688</v>
      </c>
      <c r="F2" s="4">
        <f>E2*100000000/B2*6</f>
        <v>39807.573583740457</v>
      </c>
    </row>
    <row r="3" spans="1:6">
      <c r="A3" s="2" t="s">
        <v>26</v>
      </c>
      <c r="B3" s="3">
        <v>10369886</v>
      </c>
      <c r="C3" s="5">
        <v>205</v>
      </c>
      <c r="D3" s="5">
        <v>178</v>
      </c>
      <c r="E3" s="4">
        <f>(C2*2+C3*2)</f>
        <v>688</v>
      </c>
      <c r="F3" s="4">
        <f t="shared" ref="F3:F25" si="0">E3*100000000/B3*6</f>
        <v>39807.573583740457</v>
      </c>
    </row>
    <row r="4" spans="1:6">
      <c r="A4" s="2" t="s">
        <v>25</v>
      </c>
      <c r="B4" s="3">
        <v>10369886</v>
      </c>
      <c r="C4" s="5">
        <v>223</v>
      </c>
      <c r="D4" s="5">
        <v>183</v>
      </c>
      <c r="E4" s="4">
        <f>(C3*2+C4+C2)</f>
        <v>772</v>
      </c>
      <c r="F4" s="4">
        <f t="shared" si="0"/>
        <v>44667.800591057603</v>
      </c>
    </row>
    <row r="5" spans="1:6">
      <c r="A5" s="2" t="s">
        <v>24</v>
      </c>
      <c r="B5" s="3">
        <v>10369886</v>
      </c>
      <c r="C5" s="6">
        <v>139</v>
      </c>
      <c r="D5" s="6">
        <v>105</v>
      </c>
      <c r="E5" s="6">
        <f>(C3+C4+C5*2)</f>
        <v>706</v>
      </c>
      <c r="F5" s="6">
        <f t="shared" si="0"/>
        <v>40849.05079959413</v>
      </c>
    </row>
    <row r="6" spans="1:6">
      <c r="A6" s="2" t="s">
        <v>27</v>
      </c>
      <c r="B6" s="3">
        <v>10369886</v>
      </c>
      <c r="C6" s="6">
        <v>205</v>
      </c>
      <c r="D6" s="6">
        <v>178</v>
      </c>
      <c r="E6" s="6">
        <f t="shared" ref="E6:E25" si="1">(C4+C5+C6*2)</f>
        <v>772</v>
      </c>
      <c r="F6" s="6">
        <f t="shared" si="0"/>
        <v>44667.800591057603</v>
      </c>
    </row>
    <row r="7" spans="1:6">
      <c r="A7" s="2" t="s">
        <v>3</v>
      </c>
      <c r="B7" s="3">
        <v>10369886</v>
      </c>
      <c r="C7" s="6">
        <v>223</v>
      </c>
      <c r="D7" s="6">
        <v>183</v>
      </c>
      <c r="E7" s="6">
        <f t="shared" si="1"/>
        <v>790</v>
      </c>
      <c r="F7" s="6">
        <f t="shared" si="0"/>
        <v>45709.277806911283</v>
      </c>
    </row>
    <row r="8" spans="1:6">
      <c r="A8" s="2" t="s">
        <v>4</v>
      </c>
      <c r="B8" s="3">
        <v>10369886</v>
      </c>
      <c r="C8" s="6">
        <v>-15</v>
      </c>
      <c r="D8" s="6">
        <v>-15</v>
      </c>
      <c r="E8" s="6">
        <f t="shared" si="1"/>
        <v>398</v>
      </c>
      <c r="F8" s="6">
        <f t="shared" si="0"/>
        <v>23028.218439431254</v>
      </c>
    </row>
    <row r="9" spans="1:6">
      <c r="A9" s="2" t="s">
        <v>5</v>
      </c>
      <c r="B9" s="3">
        <v>10369886</v>
      </c>
      <c r="C9" s="6">
        <v>84</v>
      </c>
      <c r="D9" s="6">
        <v>68</v>
      </c>
      <c r="E9" s="6">
        <f t="shared" si="1"/>
        <v>376</v>
      </c>
      <c r="F9" s="6">
        <f t="shared" si="0"/>
        <v>21755.301842276764</v>
      </c>
    </row>
    <row r="10" spans="1:6">
      <c r="A10" s="2" t="s">
        <v>6</v>
      </c>
      <c r="B10" s="3">
        <v>10369886</v>
      </c>
      <c r="C10" s="6">
        <v>100</v>
      </c>
      <c r="D10" s="6">
        <v>84</v>
      </c>
      <c r="E10" s="6">
        <f t="shared" si="1"/>
        <v>269</v>
      </c>
      <c r="F10" s="6">
        <f t="shared" si="0"/>
        <v>15564.298392479919</v>
      </c>
    </row>
    <row r="11" spans="1:6">
      <c r="A11" s="2" t="s">
        <v>7</v>
      </c>
      <c r="B11" s="3">
        <v>10369886</v>
      </c>
      <c r="C11" s="6">
        <v>198</v>
      </c>
      <c r="D11" s="6">
        <v>171</v>
      </c>
      <c r="E11" s="6">
        <f t="shared" si="1"/>
        <v>580</v>
      </c>
      <c r="F11" s="6">
        <f t="shared" si="0"/>
        <v>33558.710288618408</v>
      </c>
    </row>
    <row r="12" spans="1:6">
      <c r="A12" s="2" t="s">
        <v>8</v>
      </c>
      <c r="B12" s="3">
        <v>10369886</v>
      </c>
      <c r="C12" s="6">
        <v>95</v>
      </c>
      <c r="D12" s="6">
        <v>88</v>
      </c>
      <c r="E12" s="6">
        <f t="shared" si="1"/>
        <v>488</v>
      </c>
      <c r="F12" s="6">
        <f t="shared" si="0"/>
        <v>28235.604518699627</v>
      </c>
    </row>
    <row r="13" spans="1:6">
      <c r="A13" s="2" t="s">
        <v>9</v>
      </c>
      <c r="B13" s="3">
        <v>10369886</v>
      </c>
      <c r="C13" s="6">
        <v>103</v>
      </c>
      <c r="D13" s="6">
        <v>76</v>
      </c>
      <c r="E13" s="6">
        <f t="shared" si="1"/>
        <v>499</v>
      </c>
      <c r="F13" s="6">
        <f t="shared" si="0"/>
        <v>28872.06281727687</v>
      </c>
    </row>
    <row r="14" spans="1:6">
      <c r="A14" s="2" t="s">
        <v>10</v>
      </c>
      <c r="B14" s="3">
        <v>10369886</v>
      </c>
      <c r="C14" s="6">
        <v>219</v>
      </c>
      <c r="D14" s="6">
        <v>196</v>
      </c>
      <c r="E14" s="6">
        <f t="shared" si="1"/>
        <v>636</v>
      </c>
      <c r="F14" s="6">
        <f t="shared" si="0"/>
        <v>36798.861626829843</v>
      </c>
    </row>
    <row r="15" spans="1:6">
      <c r="A15" s="2" t="s">
        <v>11</v>
      </c>
      <c r="B15" s="3">
        <v>10369886</v>
      </c>
      <c r="C15" s="6">
        <v>273</v>
      </c>
      <c r="D15" s="6">
        <v>213</v>
      </c>
      <c r="E15" s="6">
        <f t="shared" si="1"/>
        <v>868</v>
      </c>
      <c r="F15" s="6">
        <f t="shared" si="0"/>
        <v>50222.345742277204</v>
      </c>
    </row>
    <row r="16" spans="1:6">
      <c r="A16" s="2" t="s">
        <v>12</v>
      </c>
      <c r="B16" s="3">
        <v>10369886</v>
      </c>
      <c r="C16" s="6">
        <v>69</v>
      </c>
      <c r="D16" s="6">
        <v>51</v>
      </c>
      <c r="E16" s="6">
        <f t="shared" si="1"/>
        <v>630</v>
      </c>
      <c r="F16" s="6">
        <f t="shared" si="0"/>
        <v>36451.702554878619</v>
      </c>
    </row>
    <row r="17" spans="1:6">
      <c r="A17" s="2" t="s">
        <v>13</v>
      </c>
      <c r="B17" s="3">
        <v>10369886</v>
      </c>
      <c r="C17" s="6">
        <v>142</v>
      </c>
      <c r="D17" s="6">
        <v>96</v>
      </c>
      <c r="E17" s="6">
        <f t="shared" si="1"/>
        <v>626</v>
      </c>
      <c r="F17" s="6">
        <f t="shared" si="0"/>
        <v>36220.263173577798</v>
      </c>
    </row>
    <row r="18" spans="1:6">
      <c r="A18" s="2" t="s">
        <v>14</v>
      </c>
      <c r="B18" s="3">
        <v>10369886</v>
      </c>
      <c r="C18" s="6">
        <v>167</v>
      </c>
      <c r="D18" s="6">
        <v>110</v>
      </c>
      <c r="E18" s="6">
        <f t="shared" si="1"/>
        <v>545</v>
      </c>
      <c r="F18" s="6">
        <f t="shared" si="0"/>
        <v>31533.61570223626</v>
      </c>
    </row>
    <row r="19" spans="1:6">
      <c r="A19" s="2" t="s">
        <v>15</v>
      </c>
      <c r="B19" s="3">
        <v>10369886</v>
      </c>
      <c r="C19" s="6">
        <v>226</v>
      </c>
      <c r="D19" s="6">
        <v>167</v>
      </c>
      <c r="E19" s="6">
        <f t="shared" si="1"/>
        <v>761</v>
      </c>
      <c r="F19" s="6">
        <f t="shared" si="0"/>
        <v>44031.34229248036</v>
      </c>
    </row>
    <row r="20" spans="1:6">
      <c r="A20" s="2" t="s">
        <v>16</v>
      </c>
      <c r="B20" s="3">
        <v>10369886</v>
      </c>
      <c r="C20" s="6">
        <v>99</v>
      </c>
      <c r="D20" s="6">
        <v>75</v>
      </c>
      <c r="E20" s="6">
        <f t="shared" si="1"/>
        <v>591</v>
      </c>
      <c r="F20" s="6">
        <f t="shared" si="0"/>
        <v>34195.168587195658</v>
      </c>
    </row>
    <row r="21" spans="1:6">
      <c r="A21" s="2" t="s">
        <v>17</v>
      </c>
      <c r="B21" s="3">
        <v>10369886</v>
      </c>
      <c r="C21" s="6">
        <v>364</v>
      </c>
      <c r="D21" s="6">
        <v>272</v>
      </c>
      <c r="E21" s="6">
        <f t="shared" si="1"/>
        <v>1053</v>
      </c>
      <c r="F21" s="6">
        <f t="shared" si="0"/>
        <v>60926.41712743997</v>
      </c>
    </row>
    <row r="22" spans="1:6">
      <c r="A22" s="2" t="s">
        <v>18</v>
      </c>
      <c r="B22" s="3">
        <v>10369886</v>
      </c>
      <c r="C22" s="6">
        <v>272</v>
      </c>
      <c r="D22" s="6">
        <v>203</v>
      </c>
      <c r="E22" s="6">
        <f t="shared" si="1"/>
        <v>1007</v>
      </c>
      <c r="F22" s="6">
        <f t="shared" si="0"/>
        <v>58264.864242480588</v>
      </c>
    </row>
    <row r="23" spans="1:6">
      <c r="A23" s="2" t="s">
        <v>19</v>
      </c>
      <c r="B23" s="3">
        <v>10369886</v>
      </c>
      <c r="C23" s="6">
        <v>281</v>
      </c>
      <c r="D23" s="6">
        <v>223</v>
      </c>
      <c r="E23" s="6">
        <f t="shared" si="1"/>
        <v>1198</v>
      </c>
      <c r="F23" s="6">
        <f t="shared" si="0"/>
        <v>69316.094699594585</v>
      </c>
    </row>
    <row r="24" spans="1:6">
      <c r="A24" s="2" t="s">
        <v>20</v>
      </c>
      <c r="B24" s="3">
        <v>10369886</v>
      </c>
      <c r="C24" s="6">
        <v>186</v>
      </c>
      <c r="D24" s="6">
        <v>145</v>
      </c>
      <c r="E24" s="6">
        <f t="shared" si="1"/>
        <v>925</v>
      </c>
      <c r="F24" s="6">
        <f t="shared" si="0"/>
        <v>53520.356925813845</v>
      </c>
    </row>
    <row r="25" spans="1:6">
      <c r="A25" s="2" t="s">
        <v>28</v>
      </c>
      <c r="B25" s="3">
        <v>10369886</v>
      </c>
      <c r="C25" s="6">
        <v>235</v>
      </c>
      <c r="D25" s="6">
        <v>191</v>
      </c>
      <c r="E25" s="6">
        <f t="shared" si="1"/>
        <v>937</v>
      </c>
      <c r="F25" s="6">
        <f t="shared" si="0"/>
        <v>54214.675069716293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부국증권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2026-04-02T01:25:31Z</dcterms:modified>
</cp:coreProperties>
</file>