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A7CB6483-9F48-4693-8317-845383D18CDB}" xr6:coauthVersionLast="47" xr6:coauthVersionMax="47" xr10:uidLastSave="{00000000-0000-0000-0000-000000000000}"/>
  <bookViews>
    <workbookView xWindow="28702" yWindow="-98" windowWidth="28995" windowHeight="16395" xr2:uid="{20458A90-AA7A-468A-9564-B848874231C8}"/>
  </bookViews>
  <sheets>
    <sheet name="넥스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5" i="1"/>
  <c r="E6" i="1"/>
  <c r="E7" i="1"/>
  <c r="E8" i="1"/>
  <c r="E9" i="1"/>
  <c r="E10" i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4" i="1"/>
  <c r="F4" i="1" s="1"/>
  <c r="E3" i="1"/>
  <c r="F3" i="1" s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<sst xmlns="http://schemas.openxmlformats.org/spreadsheetml/2006/main" count="33" uniqueCount="33">
  <si>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</si>
  <si>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</si>
  <si>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</si>
  <si>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</si>
  <si>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</si>
  <si>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</si>
  <si>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</si>
  <si>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</si>
  <si>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</si>
  <si>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</si>
  <si>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</si>
  <si>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</si>
  <si>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</si>
  <si>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</si>
  <si>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</si>
  <si>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</si>
  <si>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</si>
  <si>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</si>
  <si>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</si>
  <si>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</si>
  <si>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</si>
  <si>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</si>
  <si>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</si>
  <si>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상장주식수</t>
  </si>
  <si>
    <t>4Q_income</t>
  </si>
  <si>
    <t>목표가</t>
  </si>
  <si>
    <t>2026.2Q</t>
    <phoneticPr fontId="18" type="noConversion"/>
  </si>
  <si>
    <t>2026.1Q</t>
    <phoneticPr fontId="18" type="noConversion"/>
  </si>
  <si>
    <t>2025.4Q</t>
    <phoneticPr fontId="18" type="noConversion"/>
  </si>
  <si>
    <t>2025.3Q</t>
    <phoneticPr fontId="18" type="noConversion"/>
  </si>
  <si>
    <t>2025.2Q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</si>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</sst>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BC56-B3C1-4C59-982B-8C86BC734C74}">
  <dimension ref="A1:F29"/>
  <sheetViews>
    <sheetView tabSelected="1" workbookViewId="0">
      <selection activeCell="F2" sqref="F2"/>
    </sheetView>
  </sheetViews>
  <sheetFormatPr defaultRowHeight="16.899999999999999" x14ac:dyDescent="0.6"/>
  <cols>
    <col min="2" max="2" width="11.375" bestFit="1" customWidth="1"/>
  </cols>
  <sheetData>
    <row r="1" spans="1:6" x14ac:dyDescent="0.6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25</v>
      </c>
    </row>
    <row r="2" spans="1:6" x14ac:dyDescent="0.6">
      <c r="A2" s="3" t="s">
        <v>32</v>
      </c>
      <c r="B2" s="1">
        <v>10477005</v>
      </c>
      <c r="C2">
        <v>57</v>
      </c>
      <c r="D2">
        <v>81</v>
      </c>
      <c r="E2" s="5">
        <f>(D2*3+D3*1)</f>
        <v>227</v>
      </c>
      <c r="F2" s="5">
        <f>E2*100000000/B2*20</f>
        <v>43332.994496041567</v>
      </c>
    </row>
    <row r="3" spans="1:6" x14ac:dyDescent="0.6">
      <c r="A3" s="3" t="s">
        <v>31</v>
      </c>
      <c r="B3" s="1">
        <v>10477005</v>
      </c>
      <c r="C3">
        <v>-5.5</v>
      </c>
      <c r="D3">
        <v>-16</v>
      </c>
      <c r="E3" s="5">
        <f>(D3*2+D2*2)</f>
        <v>130</v>
      </c>
      <c r="F3" s="5">
        <f>E3*100000000/B3*15</f>
        <v>18612.189265920941</v>
      </c>
    </row>
    <row r="4" spans="1:6" x14ac:dyDescent="0.6">
      <c r="A4" s="3" t="s">
        <v>26</v>
      </c>
      <c r="B4" s="1">
        <v>10477005</v>
      </c>
      <c r="C4">
        <v>-7.7</v>
      </c>
      <c r="D4">
        <v>13</v>
      </c>
      <c r="E4" s="5">
        <f>(D4*2+D3+D2)</f>
        <v>91</v>
      </c>
      <c r="F4" s="5">
        <f>E4*100000000/B4*15</f>
        <v>13028.532486144655</v>
      </c>
    </row>
    <row r="5" spans="1:6" x14ac:dyDescent="0.6">
      <c r="A5" s="3" t="s">
        <v>27</v>
      </c>
      <c r="B5" s="1">
        <v>10477005</v>
      </c>
      <c r="C5" s="1">
        <v>-55</v>
      </c>
      <c r="D5" s="1">
        <v>-21</v>
      </c>
      <c r="E5" s="5">
        <f t="shared" ref="E5:E27" si="0">(D5*2+D4+D3)</f>
        <v>-45</v>
      </c>
      <c r="F5" s="5">
        <f t="shared" ref="F5:F27" si="1">E5*100000000/B5*15</f>
        <v>-6442.6808997418639</v>
      </c>
    </row>
    <row r="6" spans="1:6" x14ac:dyDescent="0.6">
      <c r="A6" s="4" t="s">
        <v>28</v>
      </c>
      <c r="B6" s="1">
        <v>10477005</v>
      </c>
      <c r="C6" s="1">
        <v>-34.799999999999997</v>
      </c>
      <c r="D6" s="1">
        <v>20.9</v>
      </c>
      <c r="E6" s="5">
        <f t="shared" si="0"/>
        <v>33.799999999999997</v>
      </c>
      <c r="F6" s="5">
        <f t="shared" si="1"/>
        <v>4839.1692091394434</v>
      </c>
    </row>
    <row r="7" spans="1:6" x14ac:dyDescent="0.6">
      <c r="A7" s="3" t="s">
        <v>29</v>
      </c>
      <c r="B7" s="1">
        <v>10477005</v>
      </c>
      <c r="C7" s="1">
        <v>87.8</v>
      </c>
      <c r="D7" s="1">
        <v>-22</v>
      </c>
      <c r="E7" s="5">
        <f t="shared" si="0"/>
        <v>-44.1</v>
      </c>
      <c r="F7" s="5">
        <f t="shared" si="1"/>
        <v>-6313.8272817470261</v>
      </c>
    </row>
    <row r="8" spans="1:6" x14ac:dyDescent="0.6">
      <c r="A8" s="3" t="s">
        <v>30</v>
      </c>
      <c r="B8" s="1">
        <v>10477005</v>
      </c>
      <c r="C8">
        <v>25.8</v>
      </c>
      <c r="D8">
        <v>-10</v>
      </c>
      <c r="E8" s="5">
        <f t="shared" si="0"/>
        <v>-21.1</v>
      </c>
      <c r="F8" s="5">
        <f t="shared" si="1"/>
        <v>-3020.9014885456295</v>
      </c>
    </row>
    <row r="9" spans="1:6" x14ac:dyDescent="0.6">
      <c r="A9" s="3" t="s">
        <v>3</v>
      </c>
      <c r="B9" s="1">
        <v>10477005</v>
      </c>
      <c r="C9" s="1">
        <v>34.1</v>
      </c>
      <c r="D9" s="1">
        <v>28.7</v>
      </c>
      <c r="E9" s="5">
        <f t="shared" si="0"/>
        <v>25.4</v>
      </c>
      <c r="F9" s="5">
        <f t="shared" si="1"/>
        <v>3636.5354411876297</v>
      </c>
    </row>
    <row r="10" spans="1:6" x14ac:dyDescent="0.6">
      <c r="A10" s="3" t="s">
        <v>4</v>
      </c>
      <c r="B10" s="1">
        <v>10477005</v>
      </c>
      <c r="C10" s="1">
        <v>61.94</v>
      </c>
      <c r="D10" s="1">
        <v>131</v>
      </c>
      <c r="E10" s="5">
        <f t="shared" si="0"/>
        <v>280.7</v>
      </c>
      <c r="F10" s="5">
        <f t="shared" si="1"/>
        <v>40188.011745723132</v>
      </c>
    </row>
    <row r="11" spans="1:6" x14ac:dyDescent="0.6">
      <c r="A11" s="3" t="s">
        <v>5</v>
      </c>
      <c r="B11" s="1">
        <v>10477005</v>
      </c>
      <c r="C11" s="1">
        <v>144</v>
      </c>
      <c r="D11" s="1">
        <v>91</v>
      </c>
      <c r="E11" s="5">
        <f t="shared" si="0"/>
        <v>341.7</v>
      </c>
      <c r="F11" s="5">
        <f t="shared" si="1"/>
        <v>48921.423632039885</v>
      </c>
    </row>
    <row r="12" spans="1:6" x14ac:dyDescent="0.6">
      <c r="A12" s="3" t="s">
        <v>6</v>
      </c>
      <c r="B12" s="1">
        <v>10477005</v>
      </c>
      <c r="C12" s="1">
        <v>4</v>
      </c>
      <c r="D12" s="1">
        <v>10</v>
      </c>
      <c r="E12" s="5">
        <f t="shared" si="0"/>
        <v>242</v>
      </c>
      <c r="F12" s="5">
        <f t="shared" si="1"/>
        <v>34647.306171945136</v>
      </c>
    </row>
    <row r="13" spans="1:6" x14ac:dyDescent="0.6">
      <c r="A13" s="3" t="s">
        <v>7</v>
      </c>
      <c r="B13" s="1">
        <v>10477005</v>
      </c>
      <c r="C13" s="1">
        <v>189</v>
      </c>
      <c r="D13" s="1">
        <v>147</v>
      </c>
      <c r="E13" s="5">
        <f t="shared" si="0"/>
        <v>395</v>
      </c>
      <c r="F13" s="5">
        <f t="shared" si="1"/>
        <v>56552.42123106747</v>
      </c>
    </row>
    <row r="14" spans="1:6" x14ac:dyDescent="0.6">
      <c r="A14" s="3" t="s">
        <v>8</v>
      </c>
      <c r="B14" s="1">
        <v>10477005</v>
      </c>
      <c r="C14" s="1">
        <v>59</v>
      </c>
      <c r="D14" s="1">
        <v>53</v>
      </c>
      <c r="E14" s="5">
        <f t="shared" si="0"/>
        <v>263</v>
      </c>
      <c r="F14" s="5">
        <f t="shared" si="1"/>
        <v>37653.890591824667</v>
      </c>
    </row>
    <row r="15" spans="1:6" x14ac:dyDescent="0.6">
      <c r="A15" s="3" t="s">
        <v>9</v>
      </c>
      <c r="B15" s="1">
        <v>10477005</v>
      </c>
      <c r="C15" s="1">
        <v>53</v>
      </c>
      <c r="D15" s="1">
        <v>48</v>
      </c>
      <c r="E15" s="5">
        <f t="shared" si="0"/>
        <v>296</v>
      </c>
      <c r="F15" s="5">
        <f t="shared" si="1"/>
        <v>42378.523251635364</v>
      </c>
    </row>
    <row r="16" spans="1:6" x14ac:dyDescent="0.6">
      <c r="A16" t="s">
        <v>10</v>
      </c>
      <c r="B16" s="1">
        <v>10477005</v>
      </c>
      <c r="C16" s="1">
        <v>166</v>
      </c>
      <c r="D16" s="1">
        <v>135</v>
      </c>
      <c r="E16" s="5">
        <f t="shared" si="0"/>
        <v>371</v>
      </c>
      <c r="F16" s="5">
        <f t="shared" si="1"/>
        <v>53116.324751205138</v>
      </c>
    </row>
    <row r="17" spans="1:6" x14ac:dyDescent="0.6">
      <c r="A17" t="s">
        <v>11</v>
      </c>
      <c r="B17" s="1">
        <v>10477005</v>
      </c>
      <c r="C17" s="1">
        <v>84</v>
      </c>
      <c r="D17">
        <v>74</v>
      </c>
      <c r="E17" s="5">
        <f t="shared" si="0"/>
        <v>331</v>
      </c>
      <c r="F17" s="5">
        <f t="shared" si="1"/>
        <v>47389.497284767924</v>
      </c>
    </row>
    <row r="18" spans="1:6" x14ac:dyDescent="0.6">
      <c r="A18" t="s">
        <v>12</v>
      </c>
      <c r="B18" s="1">
        <v>10477005</v>
      </c>
      <c r="C18" s="1">
        <v>79</v>
      </c>
      <c r="D18" s="1">
        <v>29</v>
      </c>
      <c r="E18" s="5">
        <f t="shared" si="0"/>
        <v>267</v>
      </c>
      <c r="F18" s="5">
        <f t="shared" si="1"/>
        <v>38226.573338468384</v>
      </c>
    </row>
    <row r="19" spans="1:6" x14ac:dyDescent="0.6">
      <c r="A19" t="s">
        <v>13</v>
      </c>
      <c r="B19" s="1">
        <v>10477005</v>
      </c>
      <c r="C19" s="1">
        <v>235</v>
      </c>
      <c r="D19" s="1">
        <v>205</v>
      </c>
      <c r="E19" s="5">
        <f t="shared" si="0"/>
        <v>513</v>
      </c>
      <c r="F19" s="5">
        <f t="shared" si="1"/>
        <v>73446.56225705723</v>
      </c>
    </row>
    <row r="20" spans="1:6" x14ac:dyDescent="0.6">
      <c r="A20" t="s">
        <v>14</v>
      </c>
      <c r="B20" s="1">
        <v>10477005</v>
      </c>
      <c r="C20" s="1">
        <v>187</v>
      </c>
      <c r="D20" s="1">
        <v>145</v>
      </c>
      <c r="E20" s="5">
        <f t="shared" si="0"/>
        <v>524</v>
      </c>
      <c r="F20" s="5">
        <f t="shared" si="1"/>
        <v>75021.439810327473</v>
      </c>
    </row>
    <row r="21" spans="1:6" x14ac:dyDescent="0.6">
      <c r="A21" t="s">
        <v>15</v>
      </c>
      <c r="B21" s="1">
        <v>10477005</v>
      </c>
      <c r="C21" s="1">
        <v>64</v>
      </c>
      <c r="D21" s="1">
        <v>54</v>
      </c>
      <c r="E21" s="5">
        <f t="shared" si="0"/>
        <v>458</v>
      </c>
      <c r="F21" s="5">
        <f t="shared" si="1"/>
        <v>65572.174490706064</v>
      </c>
    </row>
    <row r="22" spans="1:6" x14ac:dyDescent="0.6">
      <c r="A22" t="s">
        <v>16</v>
      </c>
      <c r="B22" s="1">
        <v>10477005</v>
      </c>
      <c r="C22" s="1">
        <v>51</v>
      </c>
      <c r="D22" s="1">
        <v>42</v>
      </c>
      <c r="E22" s="5">
        <f t="shared" si="0"/>
        <v>283</v>
      </c>
      <c r="F22" s="5">
        <f t="shared" si="1"/>
        <v>40517.304325043275</v>
      </c>
    </row>
    <row r="23" spans="1:6" x14ac:dyDescent="0.6">
      <c r="A23" t="s">
        <v>17</v>
      </c>
      <c r="B23" s="1">
        <v>10477005</v>
      </c>
      <c r="C23" s="1">
        <v>71</v>
      </c>
      <c r="D23" s="1">
        <v>60</v>
      </c>
      <c r="E23" s="5">
        <f t="shared" si="0"/>
        <v>216</v>
      </c>
      <c r="F23" s="5">
        <f t="shared" si="1"/>
        <v>30924.868318760942</v>
      </c>
    </row>
    <row r="24" spans="1:6" x14ac:dyDescent="0.6">
      <c r="A24" t="s">
        <v>18</v>
      </c>
      <c r="B24" s="1">
        <v>10477005</v>
      </c>
      <c r="C24" s="1">
        <v>73</v>
      </c>
      <c r="D24" s="1">
        <v>47</v>
      </c>
      <c r="E24" s="5">
        <f t="shared" si="0"/>
        <v>196</v>
      </c>
      <c r="F24" s="5">
        <f t="shared" si="1"/>
        <v>28061.454585542338</v>
      </c>
    </row>
    <row r="25" spans="1:6" x14ac:dyDescent="0.6">
      <c r="A25" t="s">
        <v>19</v>
      </c>
      <c r="B25" s="1">
        <v>10477005</v>
      </c>
      <c r="C25" s="1">
        <v>26</v>
      </c>
      <c r="D25" s="1">
        <v>32</v>
      </c>
      <c r="E25" s="5">
        <f t="shared" si="0"/>
        <v>171</v>
      </c>
      <c r="F25" s="5">
        <f t="shared" si="1"/>
        <v>24482.187419019083</v>
      </c>
    </row>
    <row r="26" spans="1:6" x14ac:dyDescent="0.6">
      <c r="A26" t="s">
        <v>20</v>
      </c>
      <c r="B26" s="1">
        <v>10477005</v>
      </c>
      <c r="C26" s="1">
        <v>57</v>
      </c>
      <c r="D26" s="1">
        <v>60</v>
      </c>
      <c r="E26" s="5">
        <f t="shared" si="0"/>
        <v>199</v>
      </c>
      <c r="F26" s="5">
        <f t="shared" si="1"/>
        <v>28490.966645525128</v>
      </c>
    </row>
    <row r="27" spans="1:6" x14ac:dyDescent="0.6">
      <c r="A27" t="s">
        <v>21</v>
      </c>
      <c r="B27" s="1">
        <v>10477005</v>
      </c>
      <c r="C27" s="1">
        <v>99</v>
      </c>
      <c r="D27" s="1">
        <v>66</v>
      </c>
      <c r="E27" s="5">
        <f t="shared" si="0"/>
        <v>224</v>
      </c>
      <c r="F27" s="5">
        <f t="shared" si="1"/>
        <v>32070.233812048387</v>
      </c>
    </row>
    <row r="28" spans="1:6" x14ac:dyDescent="0.6">
      <c r="A28" t="s">
        <v>22</v>
      </c>
      <c r="B28" s="1">
        <v>10477005</v>
      </c>
      <c r="C28" s="1">
        <v>33</v>
      </c>
      <c r="D28">
        <v>33</v>
      </c>
      <c r="F28" s="2"/>
    </row>
    <row r="29" spans="1:6" x14ac:dyDescent="0.6">
      <c r="B29" s="1"/>
      <c r="C29" s="1"/>
      <c r="D29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넥스틴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2025-01-31T15:21:33Z</dcterms:created>
  <dcterms:modified xsi:type="dcterms:W3CDTF">2026-10-06T09:26:50Z</dcterms:modified>
</cp:coreProperties>
</file>