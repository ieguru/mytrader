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B60928B9-F1AA-4FE6-B912-F29B35A20CDF}" xr6:coauthVersionLast="47" xr6:coauthVersionMax="47" xr10:uidLastSave="{00000000-0000-0000-0000-000000000000}"/>
  <bookViews>
    <workbookView xWindow="10418" yWindow="2940" windowWidth="13327" windowHeight="11242" xr2:uid="{D9D73CAD-E573-4C8D-A11D-6741119845BC}"/>
  </bookViews>
  <sheets>
    <sheet name="네오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" i="1"/>
  <c r="E2" i="1"/>
</calcChain>
</file>

<file path=xl/sharedStrings.xml><?xml version="1.0" encoding="utf-8"?>
<sst xmlns="http://schemas.openxmlformats.org/spreadsheetml/2006/main" count="35" uniqueCount="35">
  <si>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</si>
  <si>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</si>
  <si>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</si>
  <si>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</si>
  <si>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</si>
  <si>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</si>
  <si>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</si>
  <si>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</si>
  <si>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</si>
  <si>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</si>
  <si>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</si>
  <si>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</si>
  <si>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</si>
  <si>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</si>
  <si>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</si>
  <si>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</si>
  <si>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</si>
  <si>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</si>
  <si>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</si>
  <si>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</si>
  <si>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</si>
  <si>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</si>
  <si>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</si>
  <si>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</si>
  <si>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상장주식수</t>
    <phoneticPr fontId="18" type="noConversion"/>
  </si>
  <si>
    <t>4Q_income</t>
  </si>
  <si>
    <t>목표가</t>
  </si>
  <si>
    <t>2025.3Q</t>
  </si>
  <si>
    <t>2025.2Q</t>
    <phoneticPr fontId="18" type="noConversion"/>
  </si>
  <si>
    <t>2025.4Q</t>
    <phoneticPr fontId="18" type="noConversion"/>
  </si>
  <si>
    <t>2026.1Q</t>
    <phoneticPr fontId="18" type="noConversion"/>
  </si>
  <si>
    <t>2026.2Q</t>
    <phoneticPr fontId="18" type="noConversion"/>
  </si>
  <si>
    <t>2026.3Q</t>
    <phoneticPr fontId="18" type="noConversion"/>
  </si>
  <si>
    <t>2027.1Q</t>
    <phoneticPr fontId="18" type="noConversion"/>
  </si>
  <si>
    <t>2026.4Q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</si>
</sst>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B8101-B04E-4189-8B05-AF15EDA24A5E}">
  <dimension ref="A1:F30"/>
  <sheetViews>
    <sheetView tabSelected="1" workbookViewId="0">
      <selection activeCell="F2" sqref="F2:F29"/>
    </sheetView>
  </sheetViews>
  <sheetFormatPr defaultRowHeight="16.899999999999999" x14ac:dyDescent="0.6"/>
  <cols>
    <col min="2" max="2" width="10.25" bestFit="1" customWidth="1"/>
  </cols>
  <sheetData>
    <row r="1" spans="1:6" x14ac:dyDescent="0.6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26</v>
      </c>
    </row>
    <row r="2" spans="1:6" x14ac:dyDescent="0.6">
      <c r="A2" t="s">
        <v>33</v>
      </c>
      <c r="B2" s="1">
        <v>43869164</v>
      </c>
      <c r="C2">
        <v>40.6</v>
      </c>
      <c r="D2">
        <v>79</v>
      </c>
      <c r="E2">
        <f>(D2*2+D3*2)</f>
        <v>346</v>
      </c>
      <c r="F2" s="2">
        <f>E2*100000000/B2*20</f>
        <v>15774.177962452168</v>
      </c>
    </row>
    <row r="3" spans="1:6" x14ac:dyDescent="0.6">
      <c r="A3" t="s">
        <v>34</v>
      </c>
      <c r="B3" s="1">
        <v>43869164</v>
      </c>
      <c r="C3">
        <v>40.6</v>
      </c>
      <c r="D3">
        <v>94</v>
      </c>
      <c r="E3">
        <f>(D2+D4+D3*2)</f>
        <v>365</v>
      </c>
      <c r="F3" s="2">
        <f t="shared" ref="F3:F29" si="0">E3*100000000/B3*20</f>
        <v>16640.390047095494</v>
      </c>
    </row>
    <row r="4" spans="1:6" x14ac:dyDescent="0.6">
      <c r="A4" t="s">
        <v>32</v>
      </c>
      <c r="B4" s="1">
        <v>43869164</v>
      </c>
      <c r="C4">
        <v>40.6</v>
      </c>
      <c r="D4">
        <v>98</v>
      </c>
      <c r="E4">
        <f t="shared" ref="E4:E29" si="1">(D3+D5+D4*2)</f>
        <v>404</v>
      </c>
      <c r="F4" s="2">
        <f t="shared" si="0"/>
        <v>18418.404326100219</v>
      </c>
    </row>
    <row r="5" spans="1:6" x14ac:dyDescent="0.6">
      <c r="A5" t="s">
        <v>31</v>
      </c>
      <c r="B5" s="1">
        <v>43869164</v>
      </c>
      <c r="C5">
        <v>40.6</v>
      </c>
      <c r="D5">
        <v>114</v>
      </c>
      <c r="E5">
        <f t="shared" si="1"/>
        <v>332</v>
      </c>
      <c r="F5" s="2">
        <f t="shared" si="0"/>
        <v>15135.91642639919</v>
      </c>
    </row>
    <row r="6" spans="1:6" x14ac:dyDescent="0.6">
      <c r="A6" t="s">
        <v>30</v>
      </c>
      <c r="B6" s="1">
        <v>43869164</v>
      </c>
      <c r="C6">
        <v>40.6</v>
      </c>
      <c r="D6">
        <v>6</v>
      </c>
      <c r="E6">
        <f t="shared" si="1"/>
        <v>151</v>
      </c>
      <c r="F6" s="2">
        <f t="shared" si="0"/>
        <v>6884.1065674285474</v>
      </c>
    </row>
    <row r="7" spans="1:6" x14ac:dyDescent="0.6">
      <c r="A7" t="s">
        <v>29</v>
      </c>
      <c r="B7" s="1">
        <v>43869164</v>
      </c>
      <c r="C7">
        <v>40.6</v>
      </c>
      <c r="D7">
        <v>25</v>
      </c>
      <c r="E7">
        <f t="shared" si="1"/>
        <v>51.2</v>
      </c>
      <c r="F7" s="2">
        <f t="shared" si="0"/>
        <v>2334.2136175651763</v>
      </c>
    </row>
    <row r="8" spans="1:6" x14ac:dyDescent="0.6">
      <c r="A8" t="s">
        <v>27</v>
      </c>
      <c r="B8" s="1">
        <v>43869164</v>
      </c>
      <c r="C8">
        <v>-4.8</v>
      </c>
      <c r="D8">
        <v>-4.8</v>
      </c>
      <c r="E8">
        <f t="shared" si="1"/>
        <v>-0.29999999999999893</v>
      </c>
      <c r="F8" s="2">
        <f t="shared" si="0"/>
        <v>-13.677032915420906</v>
      </c>
    </row>
    <row r="9" spans="1:6" x14ac:dyDescent="0.6">
      <c r="A9" t="s">
        <v>28</v>
      </c>
      <c r="B9" s="1">
        <v>43869164</v>
      </c>
      <c r="C9">
        <v>4.9000000000000004</v>
      </c>
      <c r="D9">
        <v>-15.7</v>
      </c>
      <c r="E9">
        <f t="shared" si="1"/>
        <v>-18.599999999999998</v>
      </c>
      <c r="F9" s="2">
        <f t="shared" si="0"/>
        <v>-847.97604075609911</v>
      </c>
    </row>
    <row r="10" spans="1:6" x14ac:dyDescent="0.6">
      <c r="A10" t="s">
        <v>3</v>
      </c>
      <c r="B10" s="1">
        <v>43869164</v>
      </c>
      <c r="C10">
        <v>15.2</v>
      </c>
      <c r="D10">
        <v>17.600000000000001</v>
      </c>
      <c r="E10">
        <f t="shared" si="1"/>
        <v>96.9</v>
      </c>
      <c r="F10" s="2">
        <f t="shared" si="0"/>
        <v>4417.6816316809691</v>
      </c>
    </row>
    <row r="11" spans="1:6" x14ac:dyDescent="0.6">
      <c r="A11" t="s">
        <v>4</v>
      </c>
      <c r="B11" s="1">
        <v>43869164</v>
      </c>
      <c r="C11">
        <v>49.6</v>
      </c>
      <c r="D11">
        <v>77.400000000000006</v>
      </c>
      <c r="E11">
        <f t="shared" si="1"/>
        <v>254.4</v>
      </c>
      <c r="F11" s="2">
        <f t="shared" si="0"/>
        <v>11598.123912276969</v>
      </c>
    </row>
    <row r="12" spans="1:6" x14ac:dyDescent="0.6">
      <c r="A12" t="s">
        <v>5</v>
      </c>
      <c r="B12" s="1">
        <v>43869164</v>
      </c>
      <c r="C12">
        <v>105</v>
      </c>
      <c r="D12">
        <v>82</v>
      </c>
      <c r="E12">
        <f t="shared" si="1"/>
        <v>238.4</v>
      </c>
      <c r="F12" s="2">
        <f t="shared" si="0"/>
        <v>10868.682156787852</v>
      </c>
    </row>
    <row r="13" spans="1:6" x14ac:dyDescent="0.6">
      <c r="A13" t="s">
        <v>6</v>
      </c>
      <c r="B13" s="1">
        <v>43869164</v>
      </c>
      <c r="C13">
        <v>-16</v>
      </c>
      <c r="D13">
        <v>-3</v>
      </c>
      <c r="E13">
        <f t="shared" si="1"/>
        <v>112</v>
      </c>
      <c r="F13" s="2">
        <f t="shared" si="0"/>
        <v>5106.0922884238234</v>
      </c>
    </row>
    <row r="14" spans="1:6" x14ac:dyDescent="0.6">
      <c r="A14" t="s">
        <v>7</v>
      </c>
      <c r="B14" s="1">
        <v>43869164</v>
      </c>
      <c r="C14">
        <v>26</v>
      </c>
      <c r="D14">
        <v>36</v>
      </c>
      <c r="E14">
        <f t="shared" si="1"/>
        <v>78</v>
      </c>
      <c r="F14" s="2">
        <f t="shared" si="0"/>
        <v>3556.0285580094483</v>
      </c>
    </row>
    <row r="15" spans="1:6" x14ac:dyDescent="0.6">
      <c r="A15" t="s">
        <v>8</v>
      </c>
      <c r="B15" s="1">
        <v>43869164</v>
      </c>
      <c r="C15">
        <v>21</v>
      </c>
      <c r="D15">
        <v>9</v>
      </c>
      <c r="E15">
        <f t="shared" si="1"/>
        <v>68</v>
      </c>
      <c r="F15" s="2">
        <f t="shared" si="0"/>
        <v>3100.1274608287495</v>
      </c>
    </row>
    <row r="16" spans="1:6" x14ac:dyDescent="0.6">
      <c r="A16" t="s">
        <v>9</v>
      </c>
      <c r="B16" s="1">
        <v>43869164</v>
      </c>
      <c r="C16">
        <v>5</v>
      </c>
      <c r="D16">
        <v>14</v>
      </c>
      <c r="E16">
        <f t="shared" si="1"/>
        <v>88</v>
      </c>
      <c r="F16" s="2">
        <f t="shared" si="0"/>
        <v>4011.9296551901466</v>
      </c>
    </row>
    <row r="17" spans="1:6" x14ac:dyDescent="0.6">
      <c r="A17" t="s">
        <v>10</v>
      </c>
      <c r="B17" s="1">
        <v>43869164</v>
      </c>
      <c r="C17">
        <v>51</v>
      </c>
      <c r="D17">
        <v>51</v>
      </c>
      <c r="E17">
        <f t="shared" si="1"/>
        <v>125</v>
      </c>
      <c r="F17" s="2">
        <f t="shared" si="0"/>
        <v>5698.763714758732</v>
      </c>
    </row>
    <row r="18" spans="1:6" x14ac:dyDescent="0.6">
      <c r="A18" t="s">
        <v>11</v>
      </c>
      <c r="B18" s="1">
        <v>43869164</v>
      </c>
      <c r="C18">
        <v>4</v>
      </c>
      <c r="D18">
        <v>9</v>
      </c>
      <c r="E18">
        <f t="shared" si="1"/>
        <v>99</v>
      </c>
      <c r="F18" s="2">
        <f t="shared" si="0"/>
        <v>4513.4208620889149</v>
      </c>
    </row>
    <row r="19" spans="1:6" x14ac:dyDescent="0.6">
      <c r="A19" t="s">
        <v>12</v>
      </c>
      <c r="B19" s="1">
        <v>43869164</v>
      </c>
      <c r="C19">
        <v>55</v>
      </c>
      <c r="D19">
        <v>30</v>
      </c>
      <c r="E19">
        <f t="shared" si="1"/>
        <v>120</v>
      </c>
      <c r="F19" s="2">
        <f t="shared" si="0"/>
        <v>5470.8131661683819</v>
      </c>
    </row>
    <row r="20" spans="1:6" x14ac:dyDescent="0.6">
      <c r="A20" t="s">
        <v>13</v>
      </c>
      <c r="B20" s="1">
        <v>43869164</v>
      </c>
      <c r="C20">
        <v>27</v>
      </c>
      <c r="D20">
        <v>51</v>
      </c>
      <c r="E20">
        <f t="shared" si="1"/>
        <v>136</v>
      </c>
      <c r="F20" s="2">
        <f t="shared" si="0"/>
        <v>6200.2549216574989</v>
      </c>
    </row>
    <row r="21" spans="1:6" x14ac:dyDescent="0.6">
      <c r="A21" t="s">
        <v>14</v>
      </c>
      <c r="B21" s="1">
        <v>43869164</v>
      </c>
      <c r="C21">
        <v>-12</v>
      </c>
      <c r="D21">
        <v>4</v>
      </c>
      <c r="E21">
        <f t="shared" si="1"/>
        <v>75</v>
      </c>
      <c r="F21" s="2">
        <f t="shared" si="0"/>
        <v>3419.2582288552385</v>
      </c>
    </row>
    <row r="22" spans="1:6" x14ac:dyDescent="0.6">
      <c r="A22" t="s">
        <v>15</v>
      </c>
      <c r="B22" s="1">
        <v>43869164</v>
      </c>
      <c r="C22">
        <v>13</v>
      </c>
      <c r="D22">
        <v>16</v>
      </c>
      <c r="E22">
        <f t="shared" si="1"/>
        <v>108</v>
      </c>
      <c r="F22" s="2">
        <f t="shared" si="0"/>
        <v>4923.7318495515437</v>
      </c>
    </row>
    <row r="23" spans="1:6" x14ac:dyDescent="0.6">
      <c r="A23" t="s">
        <v>16</v>
      </c>
      <c r="B23" s="1">
        <v>43869164</v>
      </c>
      <c r="C23">
        <v>83</v>
      </c>
      <c r="D23">
        <v>72</v>
      </c>
      <c r="E23">
        <f t="shared" si="1"/>
        <v>161</v>
      </c>
      <c r="F23" s="2">
        <f t="shared" si="0"/>
        <v>7340.0076646092457</v>
      </c>
    </row>
    <row r="24" spans="1:6" x14ac:dyDescent="0.6">
      <c r="A24" t="s">
        <v>17</v>
      </c>
      <c r="B24" s="1">
        <v>43869164</v>
      </c>
      <c r="C24">
        <v>-3</v>
      </c>
      <c r="D24">
        <v>1</v>
      </c>
      <c r="E24">
        <f t="shared" si="1"/>
        <v>66</v>
      </c>
      <c r="F24" s="2">
        <f t="shared" si="0"/>
        <v>3008.9472413926105</v>
      </c>
    </row>
    <row r="25" spans="1:6" x14ac:dyDescent="0.6">
      <c r="A25" t="s">
        <v>18</v>
      </c>
      <c r="B25" s="1">
        <v>43869164</v>
      </c>
      <c r="C25">
        <v>-10</v>
      </c>
      <c r="D25">
        <v>-8</v>
      </c>
      <c r="E25">
        <f t="shared" si="1"/>
        <v>-23</v>
      </c>
      <c r="F25" s="2">
        <f t="shared" si="0"/>
        <v>-1048.5725235156067</v>
      </c>
    </row>
    <row r="26" spans="1:6" x14ac:dyDescent="0.6">
      <c r="A26" t="s">
        <v>19</v>
      </c>
      <c r="B26" s="1">
        <v>43869164</v>
      </c>
      <c r="C26">
        <v>-21</v>
      </c>
      <c r="D26">
        <v>-8</v>
      </c>
      <c r="E26">
        <f t="shared" si="1"/>
        <v>-31</v>
      </c>
      <c r="F26" s="2">
        <f t="shared" si="0"/>
        <v>-1413.2934012601654</v>
      </c>
    </row>
    <row r="27" spans="1:6" x14ac:dyDescent="0.6">
      <c r="A27" t="s">
        <v>20</v>
      </c>
      <c r="B27" s="1">
        <v>43869164</v>
      </c>
      <c r="C27">
        <v>12</v>
      </c>
      <c r="D27">
        <v>-7</v>
      </c>
      <c r="E27">
        <f t="shared" si="1"/>
        <v>9</v>
      </c>
      <c r="F27" s="2">
        <f t="shared" si="0"/>
        <v>410.31098746262865</v>
      </c>
    </row>
    <row r="28" spans="1:6" x14ac:dyDescent="0.6">
      <c r="A28" t="s">
        <v>21</v>
      </c>
      <c r="B28" s="1">
        <v>43869164</v>
      </c>
      <c r="C28">
        <v>45</v>
      </c>
      <c r="D28">
        <v>31</v>
      </c>
      <c r="E28">
        <f t="shared" si="1"/>
        <v>83</v>
      </c>
      <c r="F28" s="2">
        <f t="shared" si="0"/>
        <v>3783.9791065997974</v>
      </c>
    </row>
    <row r="29" spans="1:6" x14ac:dyDescent="0.6">
      <c r="A29" t="s">
        <v>22</v>
      </c>
      <c r="B29" s="1">
        <v>43869164</v>
      </c>
      <c r="C29">
        <v>37</v>
      </c>
      <c r="D29">
        <v>28</v>
      </c>
      <c r="E29">
        <f t="shared" si="1"/>
        <v>116</v>
      </c>
      <c r="F29" s="2">
        <f t="shared" si="0"/>
        <v>5288.4527272961022</v>
      </c>
    </row>
    <row r="30" spans="1:6" x14ac:dyDescent="0.6">
      <c r="A30" t="s">
        <v>23</v>
      </c>
      <c r="B30" s="1">
        <v>43869164</v>
      </c>
      <c r="C30">
        <v>26</v>
      </c>
      <c r="D30">
        <v>29</v>
      </c>
      <c r="F30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네오셈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2025-01-28T10:16:23Z</dcterms:created>
  <dcterms:modified xsi:type="dcterms:W3CDTF">2026-10-08T08:58:55Z</dcterms:modified>
</cp:coreProperties>
</file>