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169A7206-28AB-44E8-A008-7D01F0AAA931}" xr6:coauthVersionLast="47" xr6:coauthVersionMax="47" xr10:uidLastSave="{00000000-0000-0000-0000-000000000000}"/>
  <bookViews>
    <workbookView xWindow="2280" yWindow="2280" windowWidth="16850" windowHeight="17660" xr2:uid="{D3AF1327-C308-42CF-AFA5-FE59593F7F78}"/>
  </bookViews>
  <sheets>
    <sheet name="현대모비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5" i="1"/>
  <c r="E4" i="1"/>
  <c r="E3" i="1"/>
  <c r="E2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7" i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<sst xmlns="http://schemas.openxmlformats.org/spreadsheetml/2006/main" count="28" uniqueCount="28">
  <si>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</si>
  <si>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</si>
  <si>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</si>
  <si>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</si>
  <si>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</si>
  <si>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</si>
  <si>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</si>
  <si>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</si>
  <si>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</si>
  <si>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</si>
  <si>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</si>
  <si>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</si>
  <si>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</si>
  <si>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</si>
  <si>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</si>
  <si>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</si>
  <si>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</si>
  <si>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</si>
  <si>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</si>
  <si>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</si>
  <si>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</si>
  <si>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</si>
  <si>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</si>
  <si>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</si>
  <si>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2026.2Q</t>
    <phoneticPr fontId="18" type="noConversion"/>
  </si>
  <si>
    <t>2026.1Q</t>
    <phoneticPr fontId="18" type="noConversion"/>
  </si>
  <si>
    <t>2025.4Q</t>
  </si>
  <si>
    <t>2025.3Q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</si>
</sst>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F2" sqref="F2"/>
    </sheetView>
  </sheetViews>
  <sheetFormatPr defaultRowHeight="17" x14ac:dyDescent="0.45"/>
  <cols>
    <col min="2" max="2" width="12.33203125" customWidth="1"/>
    <col min="6" max="6" width="9.0820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24</v>
      </c>
      <c r="B2" s="1">
        <v>92995094</v>
      </c>
      <c r="C2" s="3">
        <v>9272</v>
      </c>
      <c r="D2" s="3">
        <v>10669.7</v>
      </c>
      <c r="E2" s="3">
        <f>(C2*2+C3*2)</f>
        <v>35784.800000000003</v>
      </c>
      <c r="F2" s="3">
        <f>E2*100000000/B2*8</f>
        <v>307842.47607728647</v>
      </c>
    </row>
    <row r="3" spans="1:6" x14ac:dyDescent="0.45">
      <c r="A3" t="s">
        <v>25</v>
      </c>
      <c r="B3" s="1">
        <v>92995094</v>
      </c>
      <c r="C3" s="3">
        <v>8620.4</v>
      </c>
      <c r="D3" s="3">
        <v>10496.8</v>
      </c>
      <c r="E3" s="3">
        <f>(C2*2+C3*2)</f>
        <v>35784.800000000003</v>
      </c>
      <c r="F3" s="3">
        <f t="shared" ref="F3:F21" si="0">E3*100000000/B3*8</f>
        <v>307842.47607728647</v>
      </c>
    </row>
    <row r="4" spans="1:6" x14ac:dyDescent="0.45">
      <c r="A4" t="s">
        <v>26</v>
      </c>
      <c r="B4" s="1">
        <v>92995094</v>
      </c>
      <c r="C4" s="3">
        <v>9432</v>
      </c>
      <c r="D4" s="3">
        <v>10907.6</v>
      </c>
      <c r="E4" s="3">
        <f>(C3*2+C4+C2)</f>
        <v>35944.800000000003</v>
      </c>
      <c r="F4" s="3">
        <f t="shared" si="0"/>
        <v>309218.89277298871</v>
      </c>
    </row>
    <row r="5" spans="1:6" x14ac:dyDescent="0.45">
      <c r="A5" t="s">
        <v>27</v>
      </c>
      <c r="B5" s="1">
        <v>92995094</v>
      </c>
      <c r="C5" s="3">
        <v>7803</v>
      </c>
      <c r="D5" s="3">
        <v>9305</v>
      </c>
      <c r="E5" s="3">
        <f>(C3+C4+C5*2)</f>
        <v>33658.400000000001</v>
      </c>
      <c r="F5" s="3">
        <f t="shared" si="0"/>
        <v>289549.89819140354</v>
      </c>
    </row>
    <row r="6" spans="1:6" x14ac:dyDescent="0.45">
      <c r="A6" t="s">
        <v>6</v>
      </c>
      <c r="B6" s="1">
        <v>92995094</v>
      </c>
      <c r="C6" s="1">
        <v>8700</v>
      </c>
      <c r="D6" s="1">
        <v>9344</v>
      </c>
      <c r="E6">
        <f>SUM(C6:C9)</f>
        <v>35414</v>
      </c>
      <c r="F6" s="3">
        <f t="shared" si="0"/>
        <v>304652.63038499642</v>
      </c>
    </row>
    <row r="7" spans="1:6" x14ac:dyDescent="0.45">
      <c r="A7" t="s">
        <v>7</v>
      </c>
      <c r="B7" s="1">
        <v>92995094</v>
      </c>
      <c r="C7" s="1">
        <v>7767</v>
      </c>
      <c r="D7" s="1">
        <v>10317</v>
      </c>
      <c r="E7">
        <f>SUM(C6:C9)</f>
        <v>35414</v>
      </c>
      <c r="F7" s="3">
        <f t="shared" si="0"/>
        <v>304652.63038499642</v>
      </c>
    </row>
    <row r="8" spans="1:6" x14ac:dyDescent="0.45">
      <c r="A8" t="s">
        <v>8</v>
      </c>
      <c r="B8" s="1">
        <v>92995094</v>
      </c>
      <c r="C8" s="1">
        <v>9861</v>
      </c>
      <c r="D8" s="1">
        <v>12789</v>
      </c>
      <c r="E8">
        <f t="shared" ref="E8:E21" si="1">SUM(C7:C10)</f>
        <v>33075</v>
      </c>
      <c r="F8" s="3">
        <f t="shared" si="0"/>
        <v>284531.1388146992</v>
      </c>
    </row>
    <row r="9" spans="1:6" x14ac:dyDescent="0.45">
      <c r="A9" t="s">
        <v>9</v>
      </c>
      <c r="B9" s="1">
        <v>92995094</v>
      </c>
      <c r="C9" s="1">
        <v>9086</v>
      </c>
      <c r="D9" s="1">
        <v>9212</v>
      </c>
      <c r="E9">
        <f t="shared" si="1"/>
        <v>30735</v>
      </c>
      <c r="F9" s="3">
        <f t="shared" si="0"/>
        <v>264401.04464005382</v>
      </c>
    </row>
    <row r="10" spans="1:6" x14ac:dyDescent="0.45">
      <c r="A10" t="s">
        <v>10</v>
      </c>
      <c r="B10" s="1">
        <v>92995094</v>
      </c>
      <c r="C10" s="1">
        <v>6361</v>
      </c>
      <c r="D10" s="1">
        <v>9977</v>
      </c>
      <c r="E10">
        <f t="shared" si="1"/>
        <v>26106</v>
      </c>
      <c r="F10" s="3">
        <f t="shared" si="0"/>
        <v>224579.58911251812</v>
      </c>
    </row>
    <row r="11" spans="1:6" x14ac:dyDescent="0.45">
      <c r="A11" t="s">
        <v>11</v>
      </c>
      <c r="B11" s="1">
        <v>92995094</v>
      </c>
      <c r="C11" s="1">
        <v>5427</v>
      </c>
      <c r="D11" s="1">
        <v>8624</v>
      </c>
      <c r="E11">
        <f t="shared" si="1"/>
        <v>23922</v>
      </c>
      <c r="F11" s="3">
        <f t="shared" si="0"/>
        <v>205791.50121618243</v>
      </c>
    </row>
    <row r="12" spans="1:6" x14ac:dyDescent="0.45">
      <c r="A12" t="s">
        <v>12</v>
      </c>
      <c r="B12" s="1">
        <v>92995094</v>
      </c>
      <c r="C12" s="1">
        <v>5232</v>
      </c>
      <c r="D12" s="1">
        <v>6514</v>
      </c>
      <c r="E12">
        <f t="shared" si="1"/>
        <v>24199</v>
      </c>
      <c r="F12" s="3">
        <f t="shared" si="0"/>
        <v>208174.42262061694</v>
      </c>
    </row>
    <row r="13" spans="1:6" x14ac:dyDescent="0.45">
      <c r="A13" t="s">
        <v>13</v>
      </c>
      <c r="B13" s="1">
        <v>92995094</v>
      </c>
      <c r="C13" s="1">
        <v>6902</v>
      </c>
      <c r="D13" s="1">
        <v>9981</v>
      </c>
      <c r="E13">
        <f t="shared" si="1"/>
        <v>22953</v>
      </c>
      <c r="F13" s="3">
        <f t="shared" si="0"/>
        <v>197455.57760283569</v>
      </c>
    </row>
    <row r="14" spans="1:6" x14ac:dyDescent="0.45">
      <c r="A14" t="s">
        <v>14</v>
      </c>
      <c r="B14" s="1">
        <v>92995094</v>
      </c>
      <c r="C14" s="1">
        <v>6638</v>
      </c>
      <c r="D14" s="1">
        <v>9320</v>
      </c>
      <c r="E14">
        <f t="shared" si="1"/>
        <v>24325</v>
      </c>
      <c r="F14" s="3">
        <f t="shared" si="0"/>
        <v>209258.35076848249</v>
      </c>
    </row>
    <row r="15" spans="1:6" x14ac:dyDescent="0.45">
      <c r="A15" t="s">
        <v>15</v>
      </c>
      <c r="B15" s="1">
        <v>92995094</v>
      </c>
      <c r="C15" s="1">
        <v>4181</v>
      </c>
      <c r="D15" s="1">
        <v>8418</v>
      </c>
      <c r="E15">
        <f t="shared" si="1"/>
        <v>23183</v>
      </c>
      <c r="F15" s="3">
        <f t="shared" si="0"/>
        <v>199434.17660290768</v>
      </c>
    </row>
    <row r="16" spans="1:6" x14ac:dyDescent="0.45">
      <c r="A16" t="s">
        <v>16</v>
      </c>
      <c r="B16" s="1">
        <v>92995094</v>
      </c>
      <c r="C16" s="1">
        <v>6604</v>
      </c>
      <c r="D16" s="1">
        <v>6366</v>
      </c>
      <c r="E16">
        <f t="shared" si="1"/>
        <v>20578</v>
      </c>
      <c r="F16" s="3">
        <f t="shared" si="0"/>
        <v>177024.39227600544</v>
      </c>
    </row>
    <row r="17" spans="1:6" x14ac:dyDescent="0.45">
      <c r="A17" t="s">
        <v>17</v>
      </c>
      <c r="B17" s="1">
        <v>92995094</v>
      </c>
      <c r="C17" s="1">
        <v>5760</v>
      </c>
      <c r="D17" s="1">
        <v>5599</v>
      </c>
      <c r="E17">
        <f t="shared" si="1"/>
        <v>20266</v>
      </c>
      <c r="F17" s="3">
        <f t="shared" si="0"/>
        <v>174340.37971938605</v>
      </c>
    </row>
    <row r="18" spans="1:6" x14ac:dyDescent="0.45">
      <c r="A18" t="s">
        <v>18</v>
      </c>
      <c r="B18" s="1">
        <v>92995094</v>
      </c>
      <c r="C18" s="1">
        <v>4033</v>
      </c>
      <c r="D18" s="1">
        <v>7697</v>
      </c>
      <c r="E18">
        <f t="shared" si="1"/>
        <v>18948</v>
      </c>
      <c r="F18" s="3">
        <f t="shared" si="0"/>
        <v>163002.14718853877</v>
      </c>
    </row>
    <row r="19" spans="1:6" x14ac:dyDescent="0.45">
      <c r="A19" t="s">
        <v>19</v>
      </c>
      <c r="B19" s="1">
        <v>92995094</v>
      </c>
      <c r="C19" s="1">
        <v>3869</v>
      </c>
      <c r="D19" s="1">
        <v>5210</v>
      </c>
      <c r="E19">
        <f t="shared" si="1"/>
        <v>17764</v>
      </c>
      <c r="F19" s="3">
        <f t="shared" si="0"/>
        <v>152816.66364034216</v>
      </c>
    </row>
    <row r="20" spans="1:6" x14ac:dyDescent="0.45">
      <c r="A20" t="s">
        <v>20</v>
      </c>
      <c r="B20" s="1">
        <v>92995094</v>
      </c>
      <c r="C20" s="1">
        <v>5286</v>
      </c>
      <c r="D20" s="1">
        <v>5540</v>
      </c>
      <c r="E20">
        <f t="shared" si="1"/>
        <v>19367</v>
      </c>
      <c r="F20" s="3">
        <f t="shared" si="0"/>
        <v>166606.63841040904</v>
      </c>
    </row>
    <row r="21" spans="1:6" x14ac:dyDescent="0.45">
      <c r="A21" t="s">
        <v>21</v>
      </c>
      <c r="B21" s="1">
        <v>92995094</v>
      </c>
      <c r="C21" s="1">
        <v>4576</v>
      </c>
      <c r="D21" s="1">
        <v>5355</v>
      </c>
      <c r="E21">
        <f t="shared" si="1"/>
        <v>20402</v>
      </c>
      <c r="F21" s="3">
        <f t="shared" si="0"/>
        <v>175510.33391073297</v>
      </c>
    </row>
    <row r="22" spans="1:6" x14ac:dyDescent="0.45">
      <c r="A22" t="s">
        <v>22</v>
      </c>
      <c r="B22" s="1">
        <v>92995094</v>
      </c>
      <c r="C22" s="1">
        <v>5636</v>
      </c>
      <c r="D22" s="1">
        <v>6696</v>
      </c>
      <c r="F22" s="2"/>
    </row>
    <row r="23" spans="1:6" x14ac:dyDescent="0.45">
      <c r="A23" t="s">
        <v>23</v>
      </c>
      <c r="B23" s="1">
        <v>92995094</v>
      </c>
      <c r="C23" s="1">
        <v>4904</v>
      </c>
      <c r="D23" s="1">
        <v>6033</v>
      </c>
      <c r="F2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현대모비스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2026-01-10T06:35:14Z</dcterms:modified>
</cp:coreProperties>
</file>