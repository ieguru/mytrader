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673F91C1-B24A-4FE8-845F-2E4BF75E4BE6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경동나비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F4" i="1" s="1"/>
  <c r="E2" i="1"/>
  <c r="F2" i="1" s="1"/>
  <c r="F14" i="1"/>
  <c r="F15" i="1"/>
  <c r="F16" i="1"/>
  <c r="F17" i="1"/>
  <c r="F18" i="1"/>
  <c r="F19" i="1"/>
  <c r="F20" i="1"/>
  <c r="F21" i="1"/>
  <c r="F22" i="1"/>
  <c r="F23" i="1"/>
  <c r="F24" i="1"/>
  <c r="F25" i="1"/>
  <c r="E5" i="1"/>
  <c r="F5" i="1" s="1"/>
  <c r="F3" i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8" i="1"/>
  <c r="F8" i="1" s="1"/>
  <c r="E7" i="1"/>
  <c r="F7" i="1" s="1"/>
  <c r="E6" i="1"/>
  <c r="F6" i="1" s="1"/>
</calcChain>
</file>

<file path=xl/sharedStrings.xml><?xml version="1.0" encoding="utf-8"?>
<sst xmlns="http://schemas.openxmlformats.org/spreadsheetml/2006/main" count="31" uniqueCount="30">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</sst>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20" fillId="33" borderId="0" xfId="0" applyFont="1" applyFill="1">
      <alignment vertical="center"/>
    </xf>
    <xf numFmtId="41" fontId="0" fillId="0" borderId="0" xfId="42" applyFont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8"/>
  <sheetViews>
    <sheetView tabSelected="1" workbookViewId="0">
      <selection activeCell="F2" sqref="F2"/>
    </sheetView>
  </sheetViews>
  <sheetFormatPr defaultRowHeight="16.899999999999999"/>
  <cols>
    <col min="2" max="2" width="10.25" bestFit="1" customWidth="1"/>
    <col min="5" max="5" width="12.8125" customWidth="1"/>
    <col min="6" max="6" width="9.0625" bestFit="1" customWidth="1"/>
  </cols>
  <sheetData>
    <row r="1" spans="1: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>
      <c r="A2" t="s">
        <v>29</v>
      </c>
      <c r="B2" s="1">
        <v>14568592</v>
      </c>
      <c r="C2" s="7">
        <v>392</v>
      </c>
      <c r="D2" s="4">
        <v>285</v>
      </c>
      <c r="E2" s="5">
        <f>(C2*2+C3*2)</f>
        <v>1624</v>
      </c>
      <c r="F2" s="5">
        <f>E2*100000000/B2*10</f>
        <v>111472.68040727614</v>
      </c>
    </row>
    <row r="3" spans="1:6">
      <c r="A3" t="s">
        <v>29</v>
      </c>
      <c r="B3" s="1">
        <v>14568592</v>
      </c>
      <c r="C3" s="7">
        <v>420</v>
      </c>
      <c r="D3" s="4">
        <v>314</v>
      </c>
      <c r="E3" s="5">
        <f>(C2*2+C3*2)</f>
        <v>1624</v>
      </c>
      <c r="F3" s="5">
        <f>E3*100000000/B3*10</f>
        <v>111472.68040727614</v>
      </c>
    </row>
    <row r="4" spans="1:6">
      <c r="A4" t="s">
        <v>28</v>
      </c>
      <c r="B4" s="1">
        <v>14568592</v>
      </c>
      <c r="C4" s="6">
        <v>397</v>
      </c>
      <c r="D4" s="3">
        <v>312</v>
      </c>
      <c r="E4" s="5">
        <f>(C3*2+C4*2)</f>
        <v>1634</v>
      </c>
      <c r="F4" s="5">
        <f t="shared" ref="F4:F25" si="0">E4*100000000/B4*10</f>
        <v>112159.08853786283</v>
      </c>
    </row>
    <row r="5" spans="1:6">
      <c r="A5" t="s">
        <v>27</v>
      </c>
      <c r="B5" s="1">
        <v>14568592</v>
      </c>
      <c r="C5" s="1">
        <v>447.4</v>
      </c>
      <c r="D5" s="1">
        <v>187</v>
      </c>
      <c r="E5" s="5">
        <f>(C4*2+C5+C3)</f>
        <v>1661.4</v>
      </c>
      <c r="F5" s="5">
        <f t="shared" si="0"/>
        <v>114039.84681567032</v>
      </c>
    </row>
    <row r="6" spans="1:6">
      <c r="A6" t="s">
        <v>26</v>
      </c>
      <c r="B6" s="1">
        <v>14568592</v>
      </c>
      <c r="C6" s="1">
        <v>79.900000000000006</v>
      </c>
      <c r="D6" s="1">
        <v>139.6</v>
      </c>
      <c r="E6" s="5">
        <f>C6*2+C5*2</f>
        <v>1054.5999999999999</v>
      </c>
      <c r="F6" s="5">
        <f t="shared" si="0"/>
        <v>72388.601451670824</v>
      </c>
    </row>
    <row r="7" spans="1:6">
      <c r="A7" t="s">
        <v>21</v>
      </c>
      <c r="B7" s="1">
        <v>14568592</v>
      </c>
      <c r="C7" s="1">
        <v>511.9</v>
      </c>
      <c r="D7" s="1">
        <v>193.3</v>
      </c>
      <c r="E7" s="5">
        <f>C7+C6*2+C5</f>
        <v>1119.0999999999999</v>
      </c>
      <c r="F7" s="5">
        <f t="shared" si="0"/>
        <v>76815.933893954876</v>
      </c>
    </row>
    <row r="8" spans="1:6">
      <c r="A8" t="s">
        <v>3</v>
      </c>
      <c r="B8" s="1">
        <v>14568592</v>
      </c>
      <c r="C8" s="1">
        <v>394</v>
      </c>
      <c r="D8" s="1">
        <v>377</v>
      </c>
      <c r="E8" s="5">
        <f t="shared" ref="E8:E26" si="1">C8+C7*2+C6</f>
        <v>1497.7</v>
      </c>
      <c r="F8" s="5">
        <f t="shared" si="0"/>
        <v>102803.34571796643</v>
      </c>
    </row>
    <row r="9" spans="1:6">
      <c r="A9" t="s">
        <v>4</v>
      </c>
      <c r="B9" s="1">
        <v>14568592</v>
      </c>
      <c r="C9" s="1">
        <v>337</v>
      </c>
      <c r="D9" s="1">
        <v>487</v>
      </c>
      <c r="E9" s="5">
        <f t="shared" si="1"/>
        <v>1636.9</v>
      </c>
      <c r="F9" s="5">
        <f t="shared" si="0"/>
        <v>112358.14689573295</v>
      </c>
    </row>
    <row r="10" spans="1:6">
      <c r="A10" t="s">
        <v>5</v>
      </c>
      <c r="B10" s="1">
        <v>14568592</v>
      </c>
      <c r="C10" s="1">
        <v>368</v>
      </c>
      <c r="D10" s="1">
        <v>158</v>
      </c>
      <c r="E10" s="5">
        <f t="shared" si="1"/>
        <v>1436</v>
      </c>
      <c r="F10" s="5">
        <f t="shared" si="0"/>
        <v>98568.207552246633</v>
      </c>
    </row>
    <row r="11" spans="1:6">
      <c r="A11" t="s">
        <v>6</v>
      </c>
      <c r="B11" s="1">
        <v>14568592</v>
      </c>
      <c r="C11" s="1">
        <v>295</v>
      </c>
      <c r="D11" s="1">
        <v>285</v>
      </c>
      <c r="E11" s="5">
        <f t="shared" si="1"/>
        <v>1368</v>
      </c>
      <c r="F11" s="5">
        <f t="shared" si="0"/>
        <v>93900.632264257234</v>
      </c>
    </row>
    <row r="12" spans="1:6">
      <c r="A12" t="s">
        <v>7</v>
      </c>
      <c r="B12" s="1">
        <v>14568592</v>
      </c>
      <c r="C12" s="1">
        <v>325</v>
      </c>
      <c r="D12" s="1">
        <v>314</v>
      </c>
      <c r="E12" s="5">
        <f t="shared" si="1"/>
        <v>1283</v>
      </c>
      <c r="F12" s="5">
        <f t="shared" si="0"/>
        <v>88066.1631542705</v>
      </c>
    </row>
    <row r="13" spans="1:6">
      <c r="A13" t="s">
        <v>8</v>
      </c>
      <c r="B13" s="1">
        <v>14568592</v>
      </c>
      <c r="C13" s="1">
        <v>349</v>
      </c>
      <c r="D13" s="1">
        <v>224</v>
      </c>
      <c r="E13" s="5">
        <f t="shared" si="1"/>
        <v>1294</v>
      </c>
      <c r="F13" s="5">
        <f t="shared" si="0"/>
        <v>88821.21209791585</v>
      </c>
    </row>
    <row r="14" spans="1:6">
      <c r="A14" t="s">
        <v>9</v>
      </c>
      <c r="B14" s="1">
        <v>14568592</v>
      </c>
      <c r="C14" s="1">
        <v>220</v>
      </c>
      <c r="D14">
        <v>186</v>
      </c>
      <c r="E14" s="5">
        <f t="shared" si="1"/>
        <v>1243</v>
      </c>
      <c r="F14" s="5">
        <f t="shared" si="0"/>
        <v>85320.530631923786</v>
      </c>
    </row>
    <row r="15" spans="1:6">
      <c r="A15" t="s">
        <v>10</v>
      </c>
      <c r="B15" s="1">
        <v>14568592</v>
      </c>
      <c r="C15">
        <v>105</v>
      </c>
      <c r="D15" s="1">
        <v>112</v>
      </c>
      <c r="E15" s="5">
        <f t="shared" si="1"/>
        <v>894</v>
      </c>
      <c r="F15" s="5">
        <f t="shared" si="0"/>
        <v>61364.886874448814</v>
      </c>
    </row>
    <row r="16" spans="1:6">
      <c r="A16" t="s">
        <v>11</v>
      </c>
      <c r="B16" s="1">
        <v>14568592</v>
      </c>
      <c r="C16">
        <v>385</v>
      </c>
      <c r="D16">
        <v>309</v>
      </c>
      <c r="E16" s="5">
        <f t="shared" si="1"/>
        <v>815</v>
      </c>
      <c r="F16" s="5">
        <f t="shared" si="0"/>
        <v>55942.262642814079</v>
      </c>
    </row>
    <row r="17" spans="1:6">
      <c r="A17" t="s">
        <v>12</v>
      </c>
      <c r="B17" s="1">
        <v>14568592</v>
      </c>
      <c r="C17">
        <v>253</v>
      </c>
      <c r="D17" s="1">
        <v>-73</v>
      </c>
      <c r="E17" s="5">
        <f t="shared" si="1"/>
        <v>1128</v>
      </c>
      <c r="F17" s="5">
        <f t="shared" si="0"/>
        <v>77426.837130177024</v>
      </c>
    </row>
    <row r="18" spans="1:6">
      <c r="A18" t="s">
        <v>13</v>
      </c>
      <c r="B18" s="1">
        <v>14568592</v>
      </c>
      <c r="C18" s="1">
        <v>97</v>
      </c>
      <c r="D18" s="1">
        <v>196</v>
      </c>
      <c r="E18" s="5">
        <f t="shared" si="1"/>
        <v>988</v>
      </c>
      <c r="F18" s="5">
        <f t="shared" si="0"/>
        <v>67817.123301963569</v>
      </c>
    </row>
    <row r="19" spans="1:6">
      <c r="A19" t="s">
        <v>14</v>
      </c>
      <c r="B19" s="1">
        <v>14568592</v>
      </c>
      <c r="C19" s="1">
        <v>35</v>
      </c>
      <c r="D19" s="1">
        <v>222</v>
      </c>
      <c r="E19" s="5">
        <f t="shared" si="1"/>
        <v>482</v>
      </c>
      <c r="F19" s="5">
        <f t="shared" si="0"/>
        <v>33084.87189427777</v>
      </c>
    </row>
    <row r="20" spans="1:6">
      <c r="A20" t="s">
        <v>15</v>
      </c>
      <c r="B20" s="1">
        <v>14568592</v>
      </c>
      <c r="C20" s="1">
        <v>213</v>
      </c>
      <c r="D20" s="1">
        <v>191</v>
      </c>
      <c r="E20" s="5">
        <f t="shared" si="1"/>
        <v>380</v>
      </c>
      <c r="F20" s="5">
        <f t="shared" si="0"/>
        <v>26083.508962293679</v>
      </c>
    </row>
    <row r="21" spans="1:6">
      <c r="A21" t="s">
        <v>16</v>
      </c>
      <c r="B21" s="1">
        <v>14568592</v>
      </c>
      <c r="C21" s="1">
        <v>77</v>
      </c>
      <c r="D21" s="1">
        <v>47</v>
      </c>
      <c r="E21" s="5">
        <f t="shared" si="1"/>
        <v>538</v>
      </c>
      <c r="F21" s="5">
        <f t="shared" si="0"/>
        <v>36928.757425563155</v>
      </c>
    </row>
    <row r="22" spans="1:6">
      <c r="A22" t="s">
        <v>17</v>
      </c>
      <c r="B22" s="1">
        <v>14568592</v>
      </c>
      <c r="C22" s="1">
        <v>127</v>
      </c>
      <c r="D22" s="1">
        <v>171</v>
      </c>
      <c r="E22" s="5">
        <f t="shared" si="1"/>
        <v>494</v>
      </c>
      <c r="F22" s="5">
        <f t="shared" si="0"/>
        <v>33908.561650981785</v>
      </c>
    </row>
    <row r="23" spans="1:6">
      <c r="A23" t="s">
        <v>18</v>
      </c>
      <c r="B23" s="1">
        <v>14568592</v>
      </c>
      <c r="C23" s="1">
        <v>196</v>
      </c>
      <c r="D23" s="1">
        <v>345</v>
      </c>
      <c r="E23" s="5">
        <f t="shared" si="1"/>
        <v>527</v>
      </c>
      <c r="F23" s="5">
        <f t="shared" si="0"/>
        <v>36173.708481917813</v>
      </c>
    </row>
    <row r="24" spans="1:6">
      <c r="A24" t="s">
        <v>19</v>
      </c>
      <c r="B24" s="1">
        <v>14568592</v>
      </c>
      <c r="C24" s="1">
        <v>242</v>
      </c>
      <c r="D24" s="1">
        <v>244</v>
      </c>
      <c r="E24" s="5">
        <f t="shared" si="1"/>
        <v>761</v>
      </c>
      <c r="F24" s="5">
        <f t="shared" si="0"/>
        <v>52235.658737646023</v>
      </c>
    </row>
    <row r="25" spans="1:6">
      <c r="A25" t="s">
        <v>20</v>
      </c>
      <c r="B25" s="1">
        <v>14568592</v>
      </c>
      <c r="C25">
        <v>181</v>
      </c>
      <c r="D25">
        <v>113</v>
      </c>
      <c r="E25" s="5">
        <f t="shared" si="1"/>
        <v>861</v>
      </c>
      <c r="F25" s="5">
        <f t="shared" si="0"/>
        <v>59099.740043512786</v>
      </c>
    </row>
    <row r="26" spans="1:6">
      <c r="A26" t="s">
        <v>25</v>
      </c>
      <c r="B26" s="1">
        <v>14568592</v>
      </c>
      <c r="C26" s="1">
        <v>228</v>
      </c>
      <c r="D26" s="1">
        <v>87</v>
      </c>
      <c r="E26" s="5">
        <f t="shared" si="1"/>
        <v>832</v>
      </c>
      <c r="F26" s="5"/>
    </row>
    <row r="27" spans="1:6">
      <c r="B27" s="1"/>
      <c r="F27" s="2"/>
    </row>
    <row r="28" spans="1: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경동나비엔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2026-04-10T22:39:53Z</dcterms:modified>
</cp:coreProperties>
</file>