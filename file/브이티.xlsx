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내 드라이브\Colab Notebooks\FIN\"/>
    </mc:Choice>
  </mc:AlternateContent>
  <xr:revisionPtr revIDLastSave="0" documentId="13_ncr:1_{62DE1CDC-3E42-4E10-AE38-51DF5624C009}" xr6:coauthVersionLast="47" xr6:coauthVersionMax="47" xr10:uidLastSave="{00000000-0000-0000-0000-000000000000}"/>
  <bookViews>
    <workbookView xWindow="-98" yWindow="-98" windowWidth="28996" windowHeight="15675" xr2:uid="{C8D1CA31-9A8D-48BC-97FC-23CBA29A2F93}"/>
  </bookViews>
  <sheets>
    <sheet name="브이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E17" i="1"/>
  <c r="E16" i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E6" i="1"/>
  <c r="E5" i="1"/>
  <c r="F5" i="1" s="1"/>
  <c r="E4" i="1"/>
  <c r="F4" i="1" s="1"/>
  <c r="E3" i="1"/>
  <c r="E2" i="1"/>
  <c r="E23" i="1"/>
  <c r="F23" i="1"/>
  <c r="F3" i="1"/>
  <c r="F2" i="1"/>
  <c r="F6" i="1"/>
  <c r="F7" i="1"/>
  <c r="F16" i="1"/>
  <c r="F17" i="1"/>
  <c r="F18" i="1"/>
  <c r="F19" i="1"/>
  <c r="F20" i="1"/>
  <c r="F21" i="1"/>
  <c r="F22" i="1"/>
</calcChain>
</file>

<file path=xl/sharedStrings.xml><?xml version="1.0" encoding="utf-8"?>
<sst xmlns="http://schemas.openxmlformats.org/spreadsheetml/2006/main" count="30" uniqueCount="30">
  <si>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</si>
  <si>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</si>
  <si>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</si>
  <si>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</si>
  <si>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</si>
  <si>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</si>
  <si>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</si>
  <si>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</si>
  <si>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</si>
  <si>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</si>
  <si>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</si>
  <si>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</si>
  <si>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</si>
  <si>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</si>
  <si>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</si>
  <si>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</si>
  <si>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</si>
  <si>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</si>
  <si>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</si>
  <si>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</si>
  <si>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</si>
  <si>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</si>
  <si>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</si>
  <si>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</si>
  <si>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2025.2Q</t>
  </si>
  <si>
    <t>상장주식수</t>
  </si>
  <si>
    <t>4Q_income</t>
  </si>
  <si>
    <t>목표가</t>
  </si>
  <si>
    <t>2025.4Q</t>
    <phoneticPr fontId="18" type="noConversion"/>
  </si>
  <si>
    <t>2025.3Q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</si>
</sst>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3" fontId="14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25"/>
  <sheetViews>
    <sheetView tabSelected="1" workbookViewId="0">
      <selection activeCell="E2" sqref="E2:E22"/>
    </sheetView>
  </sheetViews>
  <sheetFormatPr defaultRowHeight="16.899999999999999" x14ac:dyDescent="0.6"/>
  <cols>
    <col min="2" max="2" width="12.875" bestFit="1" customWidth="1"/>
  </cols>
  <sheetData>
    <row r="1" spans="1:6" x14ac:dyDescent="0.6">
      <c r="A1" t="s">
        <v>0</v>
      </c>
      <c r="B1" t="s">
        <v>25</v>
      </c>
      <c r="C1" t="s">
        <v>1</v>
      </c>
      <c r="D1" t="s">
        <v>2</v>
      </c>
      <c r="E1" t="s">
        <v>26</v>
      </c>
      <c r="F1" t="s">
        <v>27</v>
      </c>
    </row>
    <row r="2" spans="1:6" x14ac:dyDescent="0.6">
      <c r="A2" t="s">
        <v>28</v>
      </c>
      <c r="B2" s="1">
        <v>35798007</v>
      </c>
      <c r="C2" s="3">
        <v>341</v>
      </c>
      <c r="D2" s="3">
        <v>260</v>
      </c>
      <c r="E2">
        <f>(C2*2+C3*2)</f>
        <v>1334</v>
      </c>
      <c r="F2" s="2">
        <f>E2*100000000/B2*10</f>
        <v>37264.644369727059</v>
      </c>
    </row>
    <row r="3" spans="1:6" x14ac:dyDescent="0.6">
      <c r="A3" t="s">
        <v>29</v>
      </c>
      <c r="B3" s="1">
        <v>35798007</v>
      </c>
      <c r="C3" s="1">
        <v>326</v>
      </c>
      <c r="D3" s="1">
        <v>250</v>
      </c>
      <c r="E3">
        <f>(C2*2+C3*2)</f>
        <v>1334</v>
      </c>
      <c r="F3" s="2">
        <f t="shared" ref="F3" si="0">E3*100000000/B3*10</f>
        <v>37264.644369727059</v>
      </c>
    </row>
    <row r="4" spans="1:6" x14ac:dyDescent="0.6">
      <c r="A4" t="s">
        <v>24</v>
      </c>
      <c r="B4" s="1">
        <v>35798007</v>
      </c>
      <c r="C4" s="3">
        <v>291</v>
      </c>
      <c r="D4" s="3">
        <v>213</v>
      </c>
      <c r="E4">
        <f>(C2+C3*2+C4)</f>
        <v>1284</v>
      </c>
      <c r="F4" s="2">
        <f>E4*100000000/B4*10</f>
        <v>35867.918568762776</v>
      </c>
    </row>
    <row r="5" spans="1:6" x14ac:dyDescent="0.6">
      <c r="A5" t="s">
        <v>3</v>
      </c>
      <c r="B5" s="1">
        <v>35798007</v>
      </c>
      <c r="C5" s="1">
        <v>290</v>
      </c>
      <c r="D5" s="1">
        <v>233</v>
      </c>
      <c r="E5">
        <f t="shared" ref="E5:E22" si="1">(C3+C4*2+C5)</f>
        <v>1198</v>
      </c>
      <c r="F5" s="2">
        <f t="shared" ref="F5:F23" si="2">E5*100000000/B5*10</f>
        <v>33465.550191104216</v>
      </c>
    </row>
    <row r="6" spans="1:6" x14ac:dyDescent="0.6">
      <c r="A6" t="s">
        <v>4</v>
      </c>
      <c r="B6" s="1">
        <v>35798007</v>
      </c>
      <c r="C6" s="1">
        <v>291</v>
      </c>
      <c r="D6" s="1">
        <v>363</v>
      </c>
      <c r="E6">
        <f t="shared" si="1"/>
        <v>1162</v>
      </c>
      <c r="F6" s="2">
        <f t="shared" si="2"/>
        <v>32459.907614409931</v>
      </c>
    </row>
    <row r="7" spans="1:6" x14ac:dyDescent="0.6">
      <c r="A7" t="s">
        <v>5</v>
      </c>
      <c r="B7" s="1">
        <v>35798007</v>
      </c>
      <c r="C7" s="1">
        <v>308</v>
      </c>
      <c r="D7" s="1">
        <v>333</v>
      </c>
      <c r="E7">
        <f t="shared" si="1"/>
        <v>1180</v>
      </c>
      <c r="F7" s="2">
        <f t="shared" si="2"/>
        <v>32962.728902757073</v>
      </c>
    </row>
    <row r="8" spans="1:6" x14ac:dyDescent="0.6">
      <c r="A8" t="s">
        <v>6</v>
      </c>
      <c r="B8" s="1">
        <v>35798007</v>
      </c>
      <c r="C8" s="1">
        <v>270</v>
      </c>
      <c r="D8" s="1">
        <v>161</v>
      </c>
      <c r="E8">
        <f t="shared" si="1"/>
        <v>1177</v>
      </c>
      <c r="F8" s="2">
        <f t="shared" si="2"/>
        <v>32878.925354699219</v>
      </c>
    </row>
    <row r="9" spans="1:6" x14ac:dyDescent="0.6">
      <c r="A9" t="s">
        <v>7</v>
      </c>
      <c r="B9" s="1">
        <v>35798007</v>
      </c>
      <c r="C9" s="1">
        <v>240</v>
      </c>
      <c r="D9" s="1">
        <v>184</v>
      </c>
      <c r="E9">
        <f t="shared" si="1"/>
        <v>1088</v>
      </c>
      <c r="F9" s="2">
        <f t="shared" si="2"/>
        <v>30392.753428982793</v>
      </c>
    </row>
    <row r="10" spans="1:6" x14ac:dyDescent="0.6">
      <c r="A10" t="s">
        <v>8</v>
      </c>
      <c r="B10" s="1">
        <v>35798007</v>
      </c>
      <c r="C10" s="1">
        <v>188</v>
      </c>
      <c r="D10" s="1">
        <v>131</v>
      </c>
      <c r="E10">
        <f t="shared" si="1"/>
        <v>938</v>
      </c>
      <c r="F10" s="2">
        <f t="shared" si="2"/>
        <v>26202.576026089948</v>
      </c>
    </row>
    <row r="11" spans="1:6" x14ac:dyDescent="0.6">
      <c r="A11" t="s">
        <v>9</v>
      </c>
      <c r="B11" s="1">
        <v>35798007</v>
      </c>
      <c r="C11" s="1">
        <v>144</v>
      </c>
      <c r="D11" s="1">
        <v>94</v>
      </c>
      <c r="E11">
        <f t="shared" si="1"/>
        <v>760</v>
      </c>
      <c r="F11" s="2">
        <f t="shared" si="2"/>
        <v>21230.2321746571</v>
      </c>
    </row>
    <row r="12" spans="1:6" x14ac:dyDescent="0.6">
      <c r="A12" t="s">
        <v>10</v>
      </c>
      <c r="B12" s="1">
        <v>35798007</v>
      </c>
      <c r="C12" s="1">
        <v>117</v>
      </c>
      <c r="D12" s="1">
        <v>77</v>
      </c>
      <c r="E12">
        <f t="shared" si="1"/>
        <v>593</v>
      </c>
      <c r="F12" s="2">
        <f t="shared" si="2"/>
        <v>16565.167999436395</v>
      </c>
    </row>
    <row r="13" spans="1:6" x14ac:dyDescent="0.6">
      <c r="A13" t="s">
        <v>11</v>
      </c>
      <c r="B13" s="1">
        <v>35798007</v>
      </c>
      <c r="C13" s="1">
        <v>6</v>
      </c>
      <c r="D13" s="1">
        <v>15</v>
      </c>
      <c r="E13">
        <f t="shared" si="1"/>
        <v>384</v>
      </c>
      <c r="F13" s="2">
        <f t="shared" si="2"/>
        <v>10726.854151405692</v>
      </c>
    </row>
    <row r="14" spans="1:6" x14ac:dyDescent="0.6">
      <c r="A14" t="s">
        <v>12</v>
      </c>
      <c r="B14" s="1">
        <v>35798007</v>
      </c>
      <c r="C14" s="1">
        <v>72</v>
      </c>
      <c r="D14" s="1">
        <v>3</v>
      </c>
      <c r="E14">
        <f t="shared" si="1"/>
        <v>201</v>
      </c>
      <c r="F14" s="2">
        <f t="shared" si="2"/>
        <v>5614.8377198764156</v>
      </c>
    </row>
    <row r="15" spans="1:6" x14ac:dyDescent="0.6">
      <c r="A15" t="s">
        <v>13</v>
      </c>
      <c r="B15" s="1">
        <v>35798007</v>
      </c>
      <c r="C15" s="1">
        <v>27</v>
      </c>
      <c r="D15" s="1">
        <v>20</v>
      </c>
      <c r="E15">
        <f t="shared" si="1"/>
        <v>177</v>
      </c>
      <c r="F15" s="2">
        <f t="shared" si="2"/>
        <v>4944.4093354135603</v>
      </c>
    </row>
    <row r="16" spans="1:6" x14ac:dyDescent="0.6">
      <c r="A16" t="s">
        <v>14</v>
      </c>
      <c r="B16" s="1">
        <v>35798007</v>
      </c>
      <c r="C16" s="1">
        <v>55</v>
      </c>
      <c r="D16" s="1">
        <v>37</v>
      </c>
      <c r="E16">
        <f t="shared" si="1"/>
        <v>181</v>
      </c>
      <c r="F16" s="2">
        <f t="shared" si="2"/>
        <v>5056.1473994907028</v>
      </c>
    </row>
    <row r="17" spans="1:6" x14ac:dyDescent="0.6">
      <c r="A17" t="s">
        <v>15</v>
      </c>
      <c r="B17" s="1">
        <v>35798007</v>
      </c>
      <c r="C17" s="1">
        <v>82</v>
      </c>
      <c r="D17" s="1">
        <v>71</v>
      </c>
      <c r="E17">
        <f t="shared" si="1"/>
        <v>219</v>
      </c>
      <c r="F17" s="2">
        <f t="shared" si="2"/>
        <v>6117.6590082235589</v>
      </c>
    </row>
    <row r="18" spans="1:6" x14ac:dyDescent="0.6">
      <c r="A18" t="s">
        <v>16</v>
      </c>
      <c r="B18" s="1">
        <v>35798007</v>
      </c>
      <c r="C18" s="1">
        <v>96</v>
      </c>
      <c r="D18" s="1">
        <v>-17</v>
      </c>
      <c r="E18">
        <f t="shared" si="1"/>
        <v>315</v>
      </c>
      <c r="F18" s="2">
        <f t="shared" si="2"/>
        <v>8799.3725460749811</v>
      </c>
    </row>
    <row r="19" spans="1:6" x14ac:dyDescent="0.6">
      <c r="A19" t="s">
        <v>17</v>
      </c>
      <c r="B19" s="1">
        <v>35798007</v>
      </c>
      <c r="C19" s="1">
        <v>40</v>
      </c>
      <c r="D19" s="1">
        <v>52</v>
      </c>
      <c r="E19">
        <f t="shared" si="1"/>
        <v>314</v>
      </c>
      <c r="F19" s="2">
        <f t="shared" si="2"/>
        <v>8771.438030055695</v>
      </c>
    </row>
    <row r="20" spans="1:6" x14ac:dyDescent="0.6">
      <c r="A20" t="s">
        <v>18</v>
      </c>
      <c r="B20" s="1">
        <v>35798007</v>
      </c>
      <c r="C20" s="1">
        <v>67</v>
      </c>
      <c r="D20" s="1">
        <v>46</v>
      </c>
      <c r="E20">
        <f t="shared" si="1"/>
        <v>243</v>
      </c>
      <c r="F20" s="2">
        <f t="shared" si="2"/>
        <v>6788.0873926864133</v>
      </c>
    </row>
    <row r="21" spans="1:6" x14ac:dyDescent="0.6">
      <c r="A21" t="s">
        <v>19</v>
      </c>
      <c r="B21" s="1">
        <v>35798007</v>
      </c>
      <c r="C21" s="1">
        <v>61</v>
      </c>
      <c r="D21" s="1">
        <v>94</v>
      </c>
      <c r="E21">
        <f t="shared" si="1"/>
        <v>235</v>
      </c>
      <c r="F21" s="2">
        <f t="shared" si="2"/>
        <v>6564.6112645321282</v>
      </c>
    </row>
    <row r="22" spans="1:6" x14ac:dyDescent="0.6">
      <c r="A22" t="s">
        <v>20</v>
      </c>
      <c r="B22" s="1">
        <v>35798007</v>
      </c>
      <c r="C22" s="1">
        <v>-11</v>
      </c>
      <c r="D22" s="1">
        <v>-24</v>
      </c>
      <c r="E22">
        <f t="shared" si="1"/>
        <v>178</v>
      </c>
      <c r="F22" s="2">
        <f t="shared" si="2"/>
        <v>4972.3438514328463</v>
      </c>
    </row>
    <row r="23" spans="1:6" x14ac:dyDescent="0.6">
      <c r="A23" t="s">
        <v>21</v>
      </c>
      <c r="B23" s="1">
        <v>35798007</v>
      </c>
      <c r="C23" s="1">
        <v>18</v>
      </c>
      <c r="D23" s="1">
        <v>-23</v>
      </c>
      <c r="E23" s="1">
        <f t="shared" ref="E7:E23" si="3">SUM(C22:C25)</f>
        <v>61</v>
      </c>
      <c r="F23" s="2">
        <f t="shared" si="2"/>
        <v>1704.0054771764248</v>
      </c>
    </row>
    <row r="24" spans="1:6" x14ac:dyDescent="0.6">
      <c r="A24" t="s">
        <v>22</v>
      </c>
      <c r="B24" s="1">
        <v>35798007</v>
      </c>
      <c r="C24" s="1">
        <v>37</v>
      </c>
      <c r="D24" s="1">
        <v>30</v>
      </c>
      <c r="F24" s="2"/>
    </row>
    <row r="25" spans="1:6" x14ac:dyDescent="0.6">
      <c r="A25" t="s">
        <v>23</v>
      </c>
      <c r="B25" s="1">
        <v>35798007</v>
      </c>
      <c r="C25" s="1">
        <v>17</v>
      </c>
      <c r="D25" s="1">
        <v>-1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브이티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2025-01-31T15:24:20Z</dcterms:created>
  <dcterms:modified xsi:type="dcterms:W3CDTF">2025-09-25T07:45:58Z</dcterms:modified>
</cp:coreProperties>
</file>