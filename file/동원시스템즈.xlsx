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38A0B8BB-AA2D-4D3C-98EC-E53D63766225}" xr6:coauthVersionLast="47" xr6:coauthVersionMax="47" xr10:uidLastSave="{00000000-0000-0000-0000-000000000000}"/>
  <bookViews>
    <workbookView xWindow="15037" yWindow="2610" windowWidth="13328" windowHeight="11243" xr2:uid="{C05637EF-894A-4FAC-9F47-0179780C4CC4}"/>
  </bookViews>
  <sheets>
    <sheet name="동원시스템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3" i="1"/>
  <c r="E2" i="1"/>
</calcChain>
</file>

<file path=xl/sharedStrings.xml><?xml version="1.0" encoding="utf-8"?>
<sst xmlns="http://schemas.openxmlformats.org/spreadsheetml/2006/main" count="33" uniqueCount="33">
  <si>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</si>
  <si>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</si>
  <si>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</si>
  <si>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</si>
  <si>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</si>
  <si>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</si>
  <si>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</si>
  <si>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</si>
  <si>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</si>
  <si>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</si>
  <si>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</si>
  <si>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</si>
  <si>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</si>
  <si>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</si>
  <si>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</si>
  <si>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</si>
  <si>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</si>
  <si>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</si>
  <si>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</si>
  <si>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</si>
  <si>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</si>
  <si>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</si>
  <si>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</si>
  <si>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상장주식수</t>
  </si>
  <si>
    <t>2025.2Q</t>
    <phoneticPr fontId="19" type="noConversion"/>
  </si>
  <si>
    <t>4Q_income</t>
  </si>
  <si>
    <t>목표가</t>
  </si>
  <si>
    <t>2025.4Q</t>
    <phoneticPr fontId="19" type="noConversion"/>
  </si>
  <si>
    <t>2025.3Q</t>
    <phoneticPr fontId="19" type="noConversion"/>
  </si>
  <si>
    <t>2026.1Q</t>
    <phoneticPr fontId="19" type="noConversion"/>
  </si>
  <si>
    <t>2026.2Q</t>
    <phoneticPr fontId="19" type="noConversion"/>
  </si>
  <si>
    <t>2026.3Q</t>
    <phoneticPr fontId="19" type="noConversion"/>
  </si>
  <si>
    <t>2026.4Q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</si>
</sst>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15" fillId="0" borderId="0" xfId="42" applyNumberFormat="1" applyFont="1">
      <alignment vertical="center"/>
    </xf>
    <xf numFmtId="176" fontId="0" fillId="0" borderId="0" xfId="42" applyNumberFormat="1" applyFont="1">
      <alignment vertical="center"/>
    </xf>
    <xf numFmtId="176" fontId="0" fillId="0" borderId="0" xfId="42" applyNumberFormat="1" applyFont="1" applyFill="1">
      <alignment vertical="center"/>
    </xf>
    <xf numFmtId="176" fontId="20" fillId="0" borderId="0" xfId="42" applyNumberFormat="1" applyFont="1" applyFill="1">
      <alignment vertical="center"/>
    </xf>
    <xf numFmtId="176" fontId="21" fillId="0" borderId="0" xfId="42" applyNumberFormat="1" applyFont="1">
      <alignment vertical="center"/>
    </xf>
    <xf numFmtId="0" fontId="22" fillId="0" borderId="0" xfId="43" quotePrefix="1" applyNumberFormat="1" applyFont="1">
      <alignment vertical="center"/>
    </xf>
    <xf numFmtId="0" fontId="22" fillId="0" borderId="0" xfId="43" applyFo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63ED7C1E-4670-4743-9FB5-BDCFDD6EECD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9"/>
  <sheetViews>
    <sheetView tabSelected="1" workbookViewId="0">
      <selection activeCell="H12" sqref="H12"/>
    </sheetView>
  </sheetViews>
  <sheetFormatPr defaultRowHeight="16.899999999999999"/>
  <cols>
    <col min="2" max="2" width="10.25" bestFit="1" customWidth="1"/>
  </cols>
  <sheetData>
    <row r="1" spans="1:6">
      <c r="A1" t="s">
        <v>0</v>
      </c>
      <c r="B1" t="s">
        <v>23</v>
      </c>
      <c r="C1" t="s">
        <v>1</v>
      </c>
      <c r="D1" t="s">
        <v>2</v>
      </c>
      <c r="E1" t="s">
        <v>25</v>
      </c>
      <c r="F1" t="s">
        <v>26</v>
      </c>
    </row>
    <row r="2" spans="1:6">
      <c r="A2" t="s">
        <v>32</v>
      </c>
      <c r="B2" s="1">
        <v>28991282</v>
      </c>
      <c r="C2" s="6">
        <v>100</v>
      </c>
      <c r="D2" s="2">
        <v>120</v>
      </c>
      <c r="E2" s="3">
        <f>(D2*3+D3)</f>
        <v>510</v>
      </c>
      <c r="F2" s="3">
        <f>E2*100000000/B2*10</f>
        <v>17591.495263990051</v>
      </c>
    </row>
    <row r="3" spans="1:6">
      <c r="A3" t="s">
        <v>31</v>
      </c>
      <c r="B3" s="1">
        <v>28991282</v>
      </c>
      <c r="C3" s="6">
        <v>210</v>
      </c>
      <c r="D3" s="2">
        <v>150</v>
      </c>
      <c r="E3" s="3">
        <f>(D3*2+D2+D4)</f>
        <v>619</v>
      </c>
      <c r="F3" s="3">
        <f t="shared" ref="F3:F27" si="0">E3*100000000/B3*10</f>
        <v>21351.246212568316</v>
      </c>
    </row>
    <row r="4" spans="1:6">
      <c r="A4" t="s">
        <v>30</v>
      </c>
      <c r="B4" s="1">
        <v>28991282</v>
      </c>
      <c r="C4" s="7">
        <v>314</v>
      </c>
      <c r="D4" s="7">
        <v>199</v>
      </c>
      <c r="E4" s="3">
        <f t="shared" ref="E4:E27" si="1">(D4*2+D3+D5)</f>
        <v>710</v>
      </c>
      <c r="F4" s="3">
        <f t="shared" si="0"/>
        <v>24490.120857711641</v>
      </c>
    </row>
    <row r="5" spans="1:6">
      <c r="A5" t="s">
        <v>29</v>
      </c>
      <c r="B5" s="1">
        <v>28991282</v>
      </c>
      <c r="C5" s="7">
        <v>130</v>
      </c>
      <c r="D5" s="7">
        <v>162</v>
      </c>
      <c r="E5" s="3">
        <f t="shared" si="1"/>
        <v>643</v>
      </c>
      <c r="F5" s="3">
        <f t="shared" si="0"/>
        <v>22179.081283814907</v>
      </c>
    </row>
    <row r="6" spans="1:6">
      <c r="A6" t="s">
        <v>27</v>
      </c>
      <c r="B6" s="1">
        <v>28991282</v>
      </c>
      <c r="C6" s="7">
        <v>75</v>
      </c>
      <c r="D6" s="7">
        <v>120</v>
      </c>
      <c r="E6" s="3">
        <f t="shared" si="1"/>
        <v>555</v>
      </c>
      <c r="F6" s="3">
        <f t="shared" si="0"/>
        <v>19143.686022577407</v>
      </c>
    </row>
    <row r="7" spans="1:6">
      <c r="A7" t="s">
        <v>28</v>
      </c>
      <c r="B7" s="1">
        <v>28991282</v>
      </c>
      <c r="C7" s="7">
        <v>202</v>
      </c>
      <c r="D7" s="7">
        <v>153</v>
      </c>
      <c r="E7" s="3">
        <f t="shared" si="1"/>
        <v>584</v>
      </c>
      <c r="F7" s="3">
        <f t="shared" si="0"/>
        <v>20143.98673366704</v>
      </c>
    </row>
    <row r="8" spans="1:6">
      <c r="A8" t="s">
        <v>24</v>
      </c>
      <c r="B8" s="1">
        <v>28991282</v>
      </c>
      <c r="C8" s="7">
        <v>259</v>
      </c>
      <c r="D8" s="7">
        <v>158</v>
      </c>
      <c r="E8" s="3">
        <f t="shared" si="1"/>
        <v>575</v>
      </c>
      <c r="F8" s="3">
        <f t="shared" si="0"/>
        <v>19833.548581949566</v>
      </c>
    </row>
    <row r="9" spans="1:6">
      <c r="A9" t="s">
        <v>3</v>
      </c>
      <c r="B9" s="1">
        <v>28991282</v>
      </c>
      <c r="C9" s="7">
        <v>125</v>
      </c>
      <c r="D9" s="7">
        <v>106</v>
      </c>
      <c r="E9" s="3">
        <f t="shared" si="1"/>
        <v>539</v>
      </c>
      <c r="F9" s="3">
        <f t="shared" si="0"/>
        <v>18591.79597507968</v>
      </c>
    </row>
    <row r="10" spans="1:6">
      <c r="A10" t="s">
        <v>4</v>
      </c>
      <c r="B10" s="1">
        <v>28991282</v>
      </c>
      <c r="C10" s="7">
        <v>174</v>
      </c>
      <c r="D10" s="7">
        <v>169</v>
      </c>
      <c r="E10" s="3">
        <f t="shared" si="1"/>
        <v>622</v>
      </c>
      <c r="F10" s="3">
        <f t="shared" si="0"/>
        <v>21454.725596474142</v>
      </c>
    </row>
    <row r="11" spans="1:6">
      <c r="A11" t="s">
        <v>5</v>
      </c>
      <c r="B11" s="1">
        <v>28991282</v>
      </c>
      <c r="C11" s="7">
        <v>282</v>
      </c>
      <c r="D11" s="7">
        <v>178</v>
      </c>
      <c r="E11" s="3">
        <f t="shared" si="1"/>
        <v>748</v>
      </c>
      <c r="F11" s="3">
        <f t="shared" si="0"/>
        <v>25800.859720518743</v>
      </c>
    </row>
    <row r="12" spans="1:6">
      <c r="A12" t="s">
        <v>6</v>
      </c>
      <c r="B12" s="1">
        <v>28991282</v>
      </c>
      <c r="C12" s="7">
        <v>303</v>
      </c>
      <c r="D12" s="7">
        <v>223</v>
      </c>
      <c r="E12" s="3">
        <f t="shared" si="1"/>
        <v>779</v>
      </c>
      <c r="F12" s="3">
        <f t="shared" si="0"/>
        <v>26870.146687545588</v>
      </c>
    </row>
    <row r="13" spans="1:6">
      <c r="A13" t="s">
        <v>7</v>
      </c>
      <c r="B13" s="1">
        <v>28991282</v>
      </c>
      <c r="C13" s="7">
        <v>161</v>
      </c>
      <c r="D13" s="7">
        <v>155</v>
      </c>
      <c r="E13" s="3">
        <f t="shared" si="1"/>
        <v>657</v>
      </c>
      <c r="F13" s="3">
        <f t="shared" si="0"/>
        <v>22661.985075375418</v>
      </c>
    </row>
    <row r="14" spans="1:6">
      <c r="A14" t="s">
        <v>8</v>
      </c>
      <c r="B14" s="1">
        <v>28991282</v>
      </c>
      <c r="C14" s="7">
        <v>142</v>
      </c>
      <c r="D14" s="7">
        <v>124</v>
      </c>
      <c r="E14" s="3">
        <f t="shared" si="1"/>
        <v>613</v>
      </c>
      <c r="F14" s="3">
        <f t="shared" si="0"/>
        <v>21144.287444756668</v>
      </c>
    </row>
    <row r="15" spans="1:6">
      <c r="A15" t="s">
        <v>9</v>
      </c>
      <c r="B15" s="1">
        <v>28991282</v>
      </c>
      <c r="C15" s="7">
        <v>234</v>
      </c>
      <c r="D15" s="7">
        <v>210</v>
      </c>
      <c r="E15" s="3">
        <f t="shared" si="1"/>
        <v>723</v>
      </c>
      <c r="F15" s="3">
        <f t="shared" si="0"/>
        <v>24938.531521303543</v>
      </c>
    </row>
    <row r="16" spans="1:6">
      <c r="A16" t="s">
        <v>10</v>
      </c>
      <c r="B16" s="1">
        <v>28991282</v>
      </c>
      <c r="C16" s="7">
        <v>256</v>
      </c>
      <c r="D16" s="7">
        <v>179</v>
      </c>
      <c r="E16" s="3">
        <f t="shared" si="1"/>
        <v>697</v>
      </c>
      <c r="F16" s="3">
        <f t="shared" si="0"/>
        <v>24041.710194119736</v>
      </c>
    </row>
    <row r="17" spans="1:6">
      <c r="A17" t="s">
        <v>11</v>
      </c>
      <c r="B17" s="1">
        <v>28991282</v>
      </c>
      <c r="C17" s="7">
        <v>176</v>
      </c>
      <c r="D17" s="7">
        <v>129</v>
      </c>
      <c r="E17" s="3">
        <f t="shared" si="1"/>
        <v>615</v>
      </c>
      <c r="F17" s="3">
        <f t="shared" si="0"/>
        <v>21213.273700693884</v>
      </c>
    </row>
    <row r="18" spans="1:6">
      <c r="A18" t="s">
        <v>12</v>
      </c>
      <c r="B18" s="1">
        <v>28991282</v>
      </c>
      <c r="C18" s="7">
        <v>183</v>
      </c>
      <c r="D18" s="7">
        <v>178</v>
      </c>
      <c r="E18" s="3">
        <f t="shared" si="1"/>
        <v>673</v>
      </c>
      <c r="F18" s="3">
        <f t="shared" si="0"/>
        <v>23213.875122873145</v>
      </c>
    </row>
    <row r="19" spans="1:6">
      <c r="A19" t="s">
        <v>13</v>
      </c>
      <c r="B19" s="1">
        <v>28991282</v>
      </c>
      <c r="C19" s="7">
        <v>250</v>
      </c>
      <c r="D19" s="7">
        <v>188</v>
      </c>
      <c r="E19" s="3">
        <f t="shared" si="1"/>
        <v>772</v>
      </c>
      <c r="F19" s="3">
        <f t="shared" si="0"/>
        <v>26628.694791765334</v>
      </c>
    </row>
    <row r="20" spans="1:6">
      <c r="A20" t="s">
        <v>14</v>
      </c>
      <c r="B20" s="1">
        <v>28991282</v>
      </c>
      <c r="C20" s="7">
        <v>295</v>
      </c>
      <c r="D20" s="7">
        <v>218</v>
      </c>
      <c r="E20" s="3">
        <f t="shared" si="1"/>
        <v>764</v>
      </c>
      <c r="F20" s="3">
        <f t="shared" si="0"/>
        <v>26352.749768016471</v>
      </c>
    </row>
    <row r="21" spans="1:6">
      <c r="A21" t="s">
        <v>15</v>
      </c>
      <c r="B21" s="1">
        <v>28991282</v>
      </c>
      <c r="C21" s="7">
        <v>190</v>
      </c>
      <c r="D21" s="7">
        <v>140</v>
      </c>
      <c r="E21" s="3">
        <f t="shared" si="1"/>
        <v>431</v>
      </c>
      <c r="F21" s="3">
        <f t="shared" si="0"/>
        <v>14866.538154470021</v>
      </c>
    </row>
    <row r="22" spans="1:6">
      <c r="A22" t="s">
        <v>16</v>
      </c>
      <c r="B22" s="1">
        <v>28991282</v>
      </c>
      <c r="C22" s="7">
        <v>215</v>
      </c>
      <c r="D22" s="8">
        <v>-67</v>
      </c>
      <c r="E22" s="3">
        <f t="shared" si="1"/>
        <v>212</v>
      </c>
      <c r="F22" s="3">
        <f t="shared" si="0"/>
        <v>7312.5431293448837</v>
      </c>
    </row>
    <row r="23" spans="1:6">
      <c r="A23" t="s">
        <v>17</v>
      </c>
      <c r="B23" s="1">
        <v>28991282</v>
      </c>
      <c r="C23" s="7">
        <v>272</v>
      </c>
      <c r="D23" s="7">
        <v>206</v>
      </c>
      <c r="E23" s="3">
        <f t="shared" si="1"/>
        <v>552</v>
      </c>
      <c r="F23" s="3">
        <f t="shared" si="0"/>
        <v>19040.206638671585</v>
      </c>
    </row>
    <row r="24" spans="1:6">
      <c r="A24" t="s">
        <v>18</v>
      </c>
      <c r="B24" s="1">
        <v>28991282</v>
      </c>
      <c r="C24" s="7">
        <v>246</v>
      </c>
      <c r="D24" s="7">
        <v>207</v>
      </c>
      <c r="E24" s="3">
        <f t="shared" si="1"/>
        <v>595</v>
      </c>
      <c r="F24" s="3">
        <f t="shared" si="0"/>
        <v>20523.411141321725</v>
      </c>
    </row>
    <row r="25" spans="1:6">
      <c r="A25" t="s">
        <v>19</v>
      </c>
      <c r="B25" s="1">
        <v>28991282</v>
      </c>
      <c r="C25" s="5">
        <v>20</v>
      </c>
      <c r="D25" s="5">
        <v>-25</v>
      </c>
      <c r="E25" s="3">
        <f t="shared" si="1"/>
        <v>241</v>
      </c>
      <c r="F25" s="3">
        <f t="shared" si="0"/>
        <v>8312.8438404345143</v>
      </c>
    </row>
    <row r="26" spans="1:6">
      <c r="A26" t="s">
        <v>20</v>
      </c>
      <c r="B26" s="1">
        <v>28991282</v>
      </c>
      <c r="C26" s="5">
        <v>31</v>
      </c>
      <c r="D26" s="5">
        <v>84</v>
      </c>
      <c r="E26" s="3">
        <f t="shared" si="1"/>
        <v>264</v>
      </c>
      <c r="F26" s="3">
        <f t="shared" si="0"/>
        <v>9106.1857837124971</v>
      </c>
    </row>
    <row r="27" spans="1:6">
      <c r="A27" t="s">
        <v>21</v>
      </c>
      <c r="B27" s="1">
        <v>28991282</v>
      </c>
      <c r="C27" s="5">
        <v>129</v>
      </c>
      <c r="D27" s="5">
        <v>121</v>
      </c>
      <c r="E27" s="3">
        <f t="shared" si="1"/>
        <v>430</v>
      </c>
      <c r="F27" s="3">
        <f t="shared" si="0"/>
        <v>14832.045026501415</v>
      </c>
    </row>
    <row r="28" spans="1:6">
      <c r="A28" t="s">
        <v>22</v>
      </c>
      <c r="B28" s="1">
        <v>28991282</v>
      </c>
      <c r="C28" s="5">
        <v>122</v>
      </c>
      <c r="D28" s="5">
        <v>104</v>
      </c>
      <c r="E28" s="4"/>
      <c r="F28" s="4"/>
    </row>
    <row r="29" spans="1:6">
      <c r="B29" s="1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동원시스템즈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2025-01-28T11:03:29Z</dcterms:created>
  <dcterms:modified xsi:type="dcterms:W3CDTF">2026-10-08T09:20:06Z</dcterms:modified>
</cp:coreProperties>
</file>