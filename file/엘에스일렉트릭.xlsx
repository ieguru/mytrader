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2023958-3007-4ED8-A44D-360D893FE12C}" xr6:coauthVersionLast="47" xr6:coauthVersionMax="47" xr10:uidLastSave="{00000000-0000-0000-0000-000000000000}"/>
  <bookViews>
    <workbookView xWindow="0" yWindow="120" windowWidth="14693" windowHeight="14400" xr2:uid="{C05637EF-894A-4FAC-9F47-0179780C4CC4}"/>
  </bookViews>
  <sheets>
    <sheet name="엘에스일렉트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E14" i="1"/>
  <c r="E15" i="1"/>
  <c r="E16" i="1"/>
  <c r="E17" i="1"/>
  <c r="E18" i="1"/>
  <c r="E19" i="1"/>
  <c r="E20" i="1"/>
  <c r="E21" i="1"/>
  <c r="E22" i="1"/>
  <c r="E23" i="1"/>
  <c r="E4" i="1"/>
  <c r="F4" i="1" s="1"/>
  <c r="E3" i="1"/>
  <c r="F3" i="1" s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<sst xmlns="http://schemas.openxmlformats.org/spreadsheetml/2006/main" count="28" uniqueCount="28">
  <si>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</si>
  <si>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</si>
  <si>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</si>
  <si>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</si>
  <si>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</si>
  <si>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</si>
  <si>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</si>
  <si>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</si>
  <si>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</si>
  <si>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</si>
  <si>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</si>
  <si>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</si>
  <si>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</si>
  <si>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</si>
  <si>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</si>
  <si>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</si>
  <si>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</si>
  <si>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</si>
  <si>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</si>
  <si>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</si>
  <si>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</si>
  <si>
    <t>2025.2Q</t>
    <phoneticPr fontId="18" type="noConversion"/>
  </si>
  <si>
    <t>4Q_income</t>
  </si>
  <si>
    <t>목표가</t>
  </si>
  <si>
    <t>2025.4Q</t>
    <phoneticPr fontId="18" type="noConversion"/>
  </si>
  <si>
    <t>2025.3Q</t>
    <phoneticPr fontId="18" type="noConversion"/>
  </si>
  <si>
    <t>2026.1Q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</si>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</sst>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  <xf numFmtId="41" fontId="19" fillId="33" borderId="0" xfId="42" applyFont="1" applyFill="1">
      <alignment vertical="center"/>
    </xf>
    <xf numFmtId="41" fontId="19" fillId="0" borderId="0" xfId="42" applyFont="1">
      <alignment vertical="center"/>
    </xf>
    <xf numFmtId="41" fontId="14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7"/>
  <sheetViews>
    <sheetView tabSelected="1" workbookViewId="0">
      <selection activeCell="I22" sqref="I22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20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27</v>
      </c>
      <c r="B2" s="1">
        <v>30000000</v>
      </c>
      <c r="C2" s="7">
        <v>1431.8</v>
      </c>
      <c r="D2" s="7">
        <v>996.5</v>
      </c>
      <c r="E2" s="2">
        <f>(C2*2+C3*2)</f>
        <v>5325.6</v>
      </c>
      <c r="F2" s="2">
        <f>E2*100000000/B2*20</f>
        <v>355040.00000000006</v>
      </c>
    </row>
    <row r="3" spans="1:6" x14ac:dyDescent="0.6">
      <c r="A3" t="s">
        <v>26</v>
      </c>
      <c r="B3" s="1">
        <v>30000000</v>
      </c>
      <c r="C3" s="7">
        <v>1231</v>
      </c>
      <c r="D3" s="7">
        <v>840</v>
      </c>
      <c r="E3" s="2">
        <f>(C2*2+C3*2)</f>
        <v>5325.6</v>
      </c>
      <c r="F3" s="2">
        <f t="shared" ref="F3:F25" si="0">E3*100000000/B3*20</f>
        <v>355040.00000000006</v>
      </c>
    </row>
    <row r="4" spans="1:6" x14ac:dyDescent="0.6">
      <c r="A4" s="3" t="s">
        <v>24</v>
      </c>
      <c r="B4" s="1">
        <v>30000000</v>
      </c>
      <c r="C4" s="5">
        <v>1148</v>
      </c>
      <c r="D4" s="5">
        <v>748</v>
      </c>
      <c r="E4" s="4">
        <f>(C2+C3+C4*2)</f>
        <v>4958.8</v>
      </c>
      <c r="F4" s="2">
        <f t="shared" si="0"/>
        <v>330586.66666666663</v>
      </c>
    </row>
    <row r="5" spans="1:6" x14ac:dyDescent="0.6">
      <c r="A5" t="s">
        <v>25</v>
      </c>
      <c r="B5" s="1">
        <v>30000000</v>
      </c>
      <c r="C5" s="6">
        <v>1008</v>
      </c>
      <c r="D5" s="6">
        <v>659</v>
      </c>
      <c r="E5" s="2">
        <f t="shared" ref="E5:E25" si="1">(C3+C4+C5*2)</f>
        <v>4395</v>
      </c>
      <c r="F5" s="2">
        <f t="shared" si="0"/>
        <v>293000</v>
      </c>
    </row>
    <row r="6" spans="1:6" x14ac:dyDescent="0.6">
      <c r="A6" t="s">
        <v>21</v>
      </c>
      <c r="B6" s="1">
        <v>30000000</v>
      </c>
      <c r="C6" s="6">
        <v>1086</v>
      </c>
      <c r="D6" s="6">
        <v>673</v>
      </c>
      <c r="E6" s="2">
        <f t="shared" si="1"/>
        <v>4328</v>
      </c>
      <c r="F6" s="2">
        <f t="shared" si="0"/>
        <v>288533.33333333331</v>
      </c>
    </row>
    <row r="7" spans="1:6" x14ac:dyDescent="0.6">
      <c r="A7" t="s">
        <v>3</v>
      </c>
      <c r="B7" s="1">
        <v>30000000</v>
      </c>
      <c r="C7" s="6">
        <v>873</v>
      </c>
      <c r="D7" s="6">
        <v>674</v>
      </c>
      <c r="E7" s="2">
        <f t="shared" si="1"/>
        <v>3840</v>
      </c>
      <c r="F7" s="2">
        <f t="shared" si="0"/>
        <v>256000</v>
      </c>
    </row>
    <row r="8" spans="1:6" x14ac:dyDescent="0.6">
      <c r="A8" t="s">
        <v>4</v>
      </c>
      <c r="B8" s="1">
        <v>30000000</v>
      </c>
      <c r="C8" s="2">
        <v>1199</v>
      </c>
      <c r="D8" s="2">
        <v>628</v>
      </c>
      <c r="E8" s="2">
        <f t="shared" si="1"/>
        <v>4357</v>
      </c>
      <c r="F8" s="2">
        <f t="shared" si="0"/>
        <v>290466.66666666669</v>
      </c>
    </row>
    <row r="9" spans="1:6" x14ac:dyDescent="0.6">
      <c r="A9" t="s">
        <v>5</v>
      </c>
      <c r="B9" s="1">
        <v>30000000</v>
      </c>
      <c r="C9" s="2">
        <v>665</v>
      </c>
      <c r="D9" s="2">
        <v>351</v>
      </c>
      <c r="E9" s="2">
        <f t="shared" si="1"/>
        <v>3402</v>
      </c>
      <c r="F9" s="2">
        <f t="shared" si="0"/>
        <v>226800</v>
      </c>
    </row>
    <row r="10" spans="1:6" x14ac:dyDescent="0.6">
      <c r="A10" t="s">
        <v>6</v>
      </c>
      <c r="B10" s="1">
        <v>30000000</v>
      </c>
      <c r="C10" s="2">
        <v>1096</v>
      </c>
      <c r="D10" s="2">
        <v>646</v>
      </c>
      <c r="E10" s="2">
        <f t="shared" si="1"/>
        <v>4056</v>
      </c>
      <c r="F10" s="2">
        <f t="shared" si="0"/>
        <v>270400</v>
      </c>
    </row>
    <row r="11" spans="1:6" x14ac:dyDescent="0.6">
      <c r="A11" t="s">
        <v>7</v>
      </c>
      <c r="B11" s="1">
        <v>30000000</v>
      </c>
      <c r="C11" s="2">
        <v>937</v>
      </c>
      <c r="D11" s="2">
        <v>797</v>
      </c>
      <c r="E11" s="2">
        <f t="shared" si="1"/>
        <v>3635</v>
      </c>
      <c r="F11" s="2">
        <f t="shared" si="0"/>
        <v>242333.33333333331</v>
      </c>
    </row>
    <row r="12" spans="1:6" x14ac:dyDescent="0.6">
      <c r="A12" t="s">
        <v>8</v>
      </c>
      <c r="B12" s="1">
        <v>30000000</v>
      </c>
      <c r="C12" s="2">
        <v>681</v>
      </c>
      <c r="D12" s="2">
        <v>436</v>
      </c>
      <c r="E12" s="2">
        <f t="shared" si="1"/>
        <v>3395</v>
      </c>
      <c r="F12" s="2">
        <f t="shared" si="0"/>
        <v>226333.33333333331</v>
      </c>
    </row>
    <row r="13" spans="1:6" x14ac:dyDescent="0.6">
      <c r="A13" t="s">
        <v>9</v>
      </c>
      <c r="B13" s="1">
        <v>30000000</v>
      </c>
      <c r="C13" s="2">
        <v>701</v>
      </c>
      <c r="D13" s="2">
        <v>406</v>
      </c>
      <c r="E13" s="2">
        <f t="shared" si="1"/>
        <v>3020</v>
      </c>
      <c r="F13" s="2">
        <f t="shared" si="0"/>
        <v>201333.33333333331</v>
      </c>
    </row>
    <row r="14" spans="1:6" x14ac:dyDescent="0.6">
      <c r="A14" t="s">
        <v>10</v>
      </c>
      <c r="B14" s="1">
        <v>30000000</v>
      </c>
      <c r="C14" s="2">
        <v>1049</v>
      </c>
      <c r="D14" s="2">
        <v>730</v>
      </c>
      <c r="E14" s="2">
        <f t="shared" si="1"/>
        <v>3480</v>
      </c>
      <c r="F14" s="2">
        <f t="shared" si="0"/>
        <v>232000</v>
      </c>
    </row>
    <row r="15" spans="1:6" x14ac:dyDescent="0.6">
      <c r="A15" t="s">
        <v>11</v>
      </c>
      <c r="B15" s="1">
        <v>30000000</v>
      </c>
      <c r="C15" s="2">
        <v>818</v>
      </c>
      <c r="D15" s="2">
        <v>505</v>
      </c>
      <c r="E15" s="2">
        <f t="shared" si="1"/>
        <v>3386</v>
      </c>
      <c r="F15" s="2">
        <f t="shared" si="0"/>
        <v>225733.33333333331</v>
      </c>
    </row>
    <row r="16" spans="1:6" x14ac:dyDescent="0.6">
      <c r="A16" t="s">
        <v>12</v>
      </c>
      <c r="B16" s="1">
        <v>30000000</v>
      </c>
      <c r="C16" s="2">
        <v>261</v>
      </c>
      <c r="D16" s="2">
        <v>165</v>
      </c>
      <c r="E16" s="2">
        <f t="shared" si="1"/>
        <v>2389</v>
      </c>
      <c r="F16" s="2">
        <f t="shared" si="0"/>
        <v>159266.66666666666</v>
      </c>
    </row>
    <row r="17" spans="1:6" x14ac:dyDescent="0.6">
      <c r="A17" t="s">
        <v>13</v>
      </c>
      <c r="B17" s="1">
        <v>30000000</v>
      </c>
      <c r="C17" s="2">
        <v>607</v>
      </c>
      <c r="D17" s="2">
        <v>138</v>
      </c>
      <c r="E17" s="2">
        <f t="shared" si="1"/>
        <v>2293</v>
      </c>
      <c r="F17" s="2">
        <f t="shared" si="0"/>
        <v>152866.66666666666</v>
      </c>
    </row>
    <row r="18" spans="1:6" x14ac:dyDescent="0.6">
      <c r="A18" t="s">
        <v>14</v>
      </c>
      <c r="B18" s="1">
        <v>30000000</v>
      </c>
      <c r="C18" s="2">
        <v>601</v>
      </c>
      <c r="D18" s="2">
        <v>274</v>
      </c>
      <c r="E18" s="2">
        <f t="shared" si="1"/>
        <v>2070</v>
      </c>
      <c r="F18" s="2">
        <f t="shared" si="0"/>
        <v>138000</v>
      </c>
    </row>
    <row r="19" spans="1:6" x14ac:dyDescent="0.6">
      <c r="A19" t="s">
        <v>15</v>
      </c>
      <c r="B19" s="1">
        <v>30000000</v>
      </c>
      <c r="C19" s="2">
        <v>406</v>
      </c>
      <c r="D19" s="2">
        <v>335</v>
      </c>
      <c r="E19" s="2">
        <f t="shared" si="1"/>
        <v>2020</v>
      </c>
      <c r="F19" s="2">
        <f t="shared" si="0"/>
        <v>134666.66666666666</v>
      </c>
    </row>
    <row r="20" spans="1:6" x14ac:dyDescent="0.6">
      <c r="A20" t="s">
        <v>16</v>
      </c>
      <c r="B20" s="1">
        <v>30000000</v>
      </c>
      <c r="C20" s="2">
        <v>443</v>
      </c>
      <c r="D20" s="2">
        <v>228</v>
      </c>
      <c r="E20" s="2">
        <f t="shared" si="1"/>
        <v>1893</v>
      </c>
      <c r="F20" s="2">
        <f t="shared" si="0"/>
        <v>126200</v>
      </c>
    </row>
    <row r="21" spans="1:6" x14ac:dyDescent="0.6">
      <c r="A21" t="s">
        <v>17</v>
      </c>
      <c r="B21" s="1">
        <v>30000000</v>
      </c>
      <c r="C21" s="2">
        <v>404</v>
      </c>
      <c r="D21" s="2">
        <v>91</v>
      </c>
      <c r="E21" s="2">
        <f t="shared" si="1"/>
        <v>1657</v>
      </c>
      <c r="F21" s="2">
        <f t="shared" si="0"/>
        <v>110466.66666666666</v>
      </c>
    </row>
    <row r="22" spans="1:6" x14ac:dyDescent="0.6">
      <c r="A22" t="s">
        <v>18</v>
      </c>
      <c r="B22" s="1">
        <v>30000000</v>
      </c>
      <c r="C22" s="2">
        <v>470</v>
      </c>
      <c r="D22" s="2">
        <v>377</v>
      </c>
      <c r="E22" s="2">
        <f t="shared" si="1"/>
        <v>1787</v>
      </c>
      <c r="F22" s="2">
        <f t="shared" si="0"/>
        <v>119133.33333333334</v>
      </c>
    </row>
    <row r="23" spans="1:6" x14ac:dyDescent="0.6">
      <c r="A23" t="s">
        <v>19</v>
      </c>
      <c r="B23" s="1">
        <v>30000000</v>
      </c>
      <c r="C23" s="2">
        <v>234</v>
      </c>
      <c r="D23" s="2">
        <v>157</v>
      </c>
      <c r="E23" s="2">
        <f t="shared" si="1"/>
        <v>1342</v>
      </c>
      <c r="F23" s="2">
        <f t="shared" si="0"/>
        <v>89466.666666666657</v>
      </c>
    </row>
    <row r="24" spans="1:6" x14ac:dyDescent="0.6">
      <c r="B24" s="1"/>
      <c r="C24" s="2"/>
      <c r="D24" s="2"/>
      <c r="E24" s="2"/>
      <c r="F24" s="2"/>
    </row>
    <row r="25" spans="1:6" x14ac:dyDescent="0.6">
      <c r="B25" s="1"/>
      <c r="C25" s="2"/>
      <c r="D25" s="2"/>
      <c r="E25" s="2"/>
      <c r="F25" s="2"/>
    </row>
    <row r="26" spans="1:6" x14ac:dyDescent="0.6">
      <c r="B26" s="1"/>
      <c r="C26" s="2"/>
      <c r="D26" s="2"/>
      <c r="E26" s="2"/>
      <c r="F26" s="2"/>
    </row>
    <row r="27" spans="1:6" x14ac:dyDescent="0.6">
      <c r="B2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엘에스일렉트릭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2025-01-28T11:03:29Z</dcterms:created>
  <dcterms:modified xsi:type="dcterms:W3CDTF">2026-01-18T14:33:51Z</dcterms:modified>
</cp:coreProperties>
</file>