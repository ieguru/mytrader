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4A498D9E-54C9-4F94-9154-F4B74C01FF42}" xr6:coauthVersionLast="47" xr6:coauthVersionMax="47" xr10:uidLastSave="{00000000-0000-0000-0000-000000000000}"/>
  <bookViews>
    <workbookView xWindow="10605" yWindow="675" windowWidth="15878" windowHeight="13455" xr2:uid="{3B404238-6CFC-4173-9FBB-C15716A9B1DE}"/>
  </bookViews>
  <sheets>
    <sheet name="아모레퍼시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2" i="1"/>
  <c r="E7" i="1"/>
  <c r="F7" i="1" s="1"/>
  <c r="E8" i="1"/>
  <c r="F8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6" i="1"/>
  <c r="F6" i="1" s="1"/>
  <c r="E5" i="1"/>
  <c r="F5" i="1" s="1"/>
  <c r="E4" i="1"/>
  <c r="F4" i="1" s="1"/>
  <c r="E3" i="1"/>
  <c r="F3" i="1" s="1"/>
</calcChain>
</file>

<file path=xl/sharedStrings.xml><?xml version="1.0" encoding="utf-8"?>
<sst xmlns="http://schemas.openxmlformats.org/spreadsheetml/2006/main" count="29" uniqueCount="29">
  <si>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</si>
  <si>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</si>
  <si>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</si>
  <si>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</si>
  <si>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</si>
  <si>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</si>
  <si>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</si>
  <si>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</si>
  <si>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</si>
  <si>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</si>
  <si>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</si>
  <si>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</si>
  <si>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</si>
  <si>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</si>
  <si>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</si>
  <si>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</si>
  <si>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</si>
  <si>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</si>
  <si>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</si>
  <si>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</si>
  <si>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상장주식수</t>
    <phoneticPr fontId="18" type="noConversion"/>
  </si>
  <si>
    <t>4Q_income</t>
  </si>
  <si>
    <t>목표가</t>
  </si>
  <si>
    <t>2025.2Q</t>
    <phoneticPr fontId="18" type="noConversion"/>
  </si>
  <si>
    <t>2025.3Q</t>
    <phoneticPr fontId="18" type="noConversion"/>
  </si>
  <si>
    <t>2026.2Q</t>
    <phoneticPr fontId="18" type="noConversion"/>
  </si>
  <si>
    <t>2026.1Q</t>
    <phoneticPr fontId="18" type="noConversion"/>
  </si>
  <si>
    <t>2025.4Q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</si>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</sst>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41" fontId="0" fillId="0" borderId="0" xfId="42" applyFont="1">
      <alignment vertical="center"/>
    </xf>
    <xf numFmtId="0" fontId="0" fillId="33" borderId="0" xfId="0" applyFill="1">
      <alignment vertical="center"/>
    </xf>
    <xf numFmtId="41" fontId="0" fillId="33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9DB3-CE1B-42E2-AF4F-5D821B36F3D2}">
  <dimension ref="A1:F24"/>
  <sheetViews>
    <sheetView tabSelected="1" workbookViewId="0">
      <selection activeCell="F3" sqref="F3"/>
    </sheetView>
  </sheetViews>
  <sheetFormatPr defaultRowHeight="16.899999999999999" x14ac:dyDescent="0.6"/>
  <cols>
    <col min="2" max="2" width="10.25" bestFit="1" customWidth="1"/>
  </cols>
  <sheetData>
    <row r="1" spans="1:6" x14ac:dyDescent="0.6">
      <c r="A1" t="s">
        <v>0</v>
      </c>
      <c r="B1" t="s">
        <v>20</v>
      </c>
      <c r="C1" t="s">
        <v>1</v>
      </c>
      <c r="D1" t="s">
        <v>2</v>
      </c>
      <c r="E1" t="s">
        <v>21</v>
      </c>
      <c r="F1" t="s">
        <v>22</v>
      </c>
    </row>
    <row r="2" spans="1:6" ht="19.5" customHeight="1" x14ac:dyDescent="0.6">
      <c r="A2" t="s">
        <v>28</v>
      </c>
      <c r="B2" s="1">
        <v>58492759</v>
      </c>
      <c r="C2" s="3">
        <v>1122</v>
      </c>
      <c r="D2" s="3">
        <v>870</v>
      </c>
      <c r="E2" s="4">
        <f>(C2*2+C3*2)</f>
        <v>4140</v>
      </c>
      <c r="F2" s="2">
        <f>E2*100000000/B2*10</f>
        <v>70777.991511735658</v>
      </c>
    </row>
    <row r="3" spans="1:6" ht="19.5" customHeight="1" x14ac:dyDescent="0.6">
      <c r="A3" t="s">
        <v>25</v>
      </c>
      <c r="B3" s="1">
        <v>58492759</v>
      </c>
      <c r="C3" s="3">
        <v>948</v>
      </c>
      <c r="D3" s="3">
        <v>716</v>
      </c>
      <c r="E3" s="4">
        <f>(C3*2+C4*2)</f>
        <v>4388</v>
      </c>
      <c r="F3" s="2">
        <f>E3*100000000/B3*10</f>
        <v>75017.832549153653</v>
      </c>
    </row>
    <row r="4" spans="1:6" ht="19.5" customHeight="1" x14ac:dyDescent="0.6">
      <c r="A4" t="s">
        <v>26</v>
      </c>
      <c r="B4" s="1">
        <v>58492759</v>
      </c>
      <c r="C4" s="1">
        <v>1246</v>
      </c>
      <c r="D4">
        <v>990</v>
      </c>
      <c r="E4" s="2">
        <f>(C3*2+C4*2)</f>
        <v>4388</v>
      </c>
      <c r="F4" s="2">
        <f t="shared" ref="F4:F24" si="0">E4*100000000/B4*10</f>
        <v>75017.832549153653</v>
      </c>
    </row>
    <row r="5" spans="1:6" x14ac:dyDescent="0.6">
      <c r="A5" t="s">
        <v>27</v>
      </c>
      <c r="B5" s="1">
        <v>58492759</v>
      </c>
      <c r="C5">
        <v>526</v>
      </c>
      <c r="D5">
        <v>231</v>
      </c>
      <c r="E5" s="2">
        <f>(C4*2+C5+C3)</f>
        <v>3966</v>
      </c>
      <c r="F5" s="2">
        <f t="shared" si="0"/>
        <v>67803.26433225692</v>
      </c>
    </row>
    <row r="6" spans="1:6" x14ac:dyDescent="0.6">
      <c r="A6" t="s">
        <v>24</v>
      </c>
      <c r="B6" s="1">
        <v>58492759</v>
      </c>
      <c r="C6">
        <v>919</v>
      </c>
      <c r="D6">
        <v>660</v>
      </c>
      <c r="E6" s="2">
        <f>(C4+C5+C6*2)</f>
        <v>3610</v>
      </c>
      <c r="F6" s="2">
        <f t="shared" si="0"/>
        <v>61717.040907576265</v>
      </c>
    </row>
    <row r="7" spans="1:6" x14ac:dyDescent="0.6">
      <c r="A7" t="s">
        <v>23</v>
      </c>
      <c r="B7" s="1">
        <v>58492759</v>
      </c>
      <c r="C7">
        <v>737</v>
      </c>
      <c r="D7">
        <v>358</v>
      </c>
      <c r="E7" s="2">
        <f t="shared" ref="E7:E8" si="1">(C5+C6+C7*2)</f>
        <v>2919</v>
      </c>
      <c r="F7" s="2">
        <f t="shared" si="0"/>
        <v>49903.612855738262</v>
      </c>
    </row>
    <row r="8" spans="1:6" x14ac:dyDescent="0.6">
      <c r="A8" t="s">
        <v>3</v>
      </c>
      <c r="B8" s="1">
        <v>58492759</v>
      </c>
      <c r="C8" s="1">
        <v>1177</v>
      </c>
      <c r="D8" s="1">
        <v>1190</v>
      </c>
      <c r="E8" s="2">
        <f t="shared" si="1"/>
        <v>4010</v>
      </c>
      <c r="F8" s="2">
        <f t="shared" si="0"/>
        <v>68555.49419373431</v>
      </c>
    </row>
    <row r="9" spans="1:6" x14ac:dyDescent="0.6">
      <c r="A9" t="s">
        <v>4</v>
      </c>
      <c r="B9" s="1">
        <v>58492759</v>
      </c>
      <c r="C9">
        <v>785</v>
      </c>
      <c r="D9">
        <v>-462</v>
      </c>
      <c r="E9" s="2">
        <f t="shared" ref="E9:E24" si="2">(C7+C8+C9*2)</f>
        <v>3484</v>
      </c>
      <c r="F9" s="2">
        <f t="shared" si="0"/>
        <v>59562.92812243649</v>
      </c>
    </row>
    <row r="10" spans="1:6" x14ac:dyDescent="0.6">
      <c r="A10" t="s">
        <v>5</v>
      </c>
      <c r="B10" s="1">
        <v>58492759</v>
      </c>
      <c r="C10">
        <v>652</v>
      </c>
      <c r="D10">
        <v>372</v>
      </c>
      <c r="E10" s="2">
        <f t="shared" si="2"/>
        <v>3266</v>
      </c>
      <c r="F10" s="2">
        <f t="shared" si="0"/>
        <v>55835.971081480355</v>
      </c>
    </row>
    <row r="11" spans="1:6" x14ac:dyDescent="0.6">
      <c r="A11" t="s">
        <v>6</v>
      </c>
      <c r="B11" s="1">
        <v>58492759</v>
      </c>
      <c r="C11">
        <v>42</v>
      </c>
      <c r="D11" s="1">
        <v>5306</v>
      </c>
      <c r="E11" s="2">
        <f t="shared" si="2"/>
        <v>1521</v>
      </c>
      <c r="F11" s="2">
        <f t="shared" si="0"/>
        <v>26003.218620615931</v>
      </c>
    </row>
    <row r="12" spans="1:6" x14ac:dyDescent="0.6">
      <c r="A12" t="s">
        <v>7</v>
      </c>
      <c r="B12" s="1">
        <v>58492759</v>
      </c>
      <c r="C12">
        <v>727</v>
      </c>
      <c r="D12">
        <v>801</v>
      </c>
      <c r="E12" s="2">
        <f t="shared" si="2"/>
        <v>2148</v>
      </c>
      <c r="F12" s="2">
        <f t="shared" si="0"/>
        <v>36722.494146668651</v>
      </c>
    </row>
    <row r="13" spans="1:6" x14ac:dyDescent="0.6">
      <c r="A13" t="s">
        <v>8</v>
      </c>
      <c r="B13" s="1">
        <v>58492759</v>
      </c>
      <c r="C13">
        <v>207</v>
      </c>
      <c r="D13">
        <v>382</v>
      </c>
      <c r="E13" s="2">
        <f t="shared" si="2"/>
        <v>1183</v>
      </c>
      <c r="F13" s="2">
        <f t="shared" si="0"/>
        <v>20224.725593812393</v>
      </c>
    </row>
    <row r="14" spans="1:6" x14ac:dyDescent="0.6">
      <c r="A14" t="s">
        <v>9</v>
      </c>
      <c r="B14" s="1">
        <v>58492759</v>
      </c>
      <c r="C14">
        <v>173</v>
      </c>
      <c r="D14">
        <v>266</v>
      </c>
      <c r="E14" s="2">
        <f t="shared" si="2"/>
        <v>1280</v>
      </c>
      <c r="F14" s="2">
        <f t="shared" si="0"/>
        <v>21883.050515705712</v>
      </c>
    </row>
    <row r="15" spans="1:6" x14ac:dyDescent="0.6">
      <c r="A15" t="s">
        <v>10</v>
      </c>
      <c r="B15" s="1">
        <v>58492759</v>
      </c>
      <c r="C15">
        <v>59</v>
      </c>
      <c r="D15">
        <v>193</v>
      </c>
      <c r="E15" s="2">
        <f t="shared" si="2"/>
        <v>498</v>
      </c>
      <c r="F15" s="2">
        <f t="shared" si="0"/>
        <v>8513.8743412667536</v>
      </c>
    </row>
    <row r="16" spans="1:6" x14ac:dyDescent="0.6">
      <c r="A16" t="s">
        <v>11</v>
      </c>
      <c r="B16" s="1">
        <v>58492759</v>
      </c>
      <c r="C16">
        <v>644</v>
      </c>
      <c r="D16">
        <v>897</v>
      </c>
      <c r="E16" s="2">
        <f t="shared" si="2"/>
        <v>1520</v>
      </c>
      <c r="F16" s="2">
        <f t="shared" si="0"/>
        <v>25986.122487400535</v>
      </c>
    </row>
    <row r="17" spans="1:6" x14ac:dyDescent="0.6">
      <c r="A17" t="s">
        <v>12</v>
      </c>
      <c r="B17" s="1">
        <v>58492759</v>
      </c>
      <c r="C17">
        <v>570</v>
      </c>
      <c r="D17">
        <v>246</v>
      </c>
      <c r="E17" s="2">
        <f t="shared" si="2"/>
        <v>1843</v>
      </c>
      <c r="F17" s="2">
        <f t="shared" si="0"/>
        <v>31508.173515973147</v>
      </c>
    </row>
    <row r="18" spans="1:6" x14ac:dyDescent="0.6">
      <c r="A18" t="s">
        <v>13</v>
      </c>
      <c r="B18" s="1">
        <v>58492759</v>
      </c>
      <c r="C18">
        <v>188</v>
      </c>
      <c r="D18">
        <v>218</v>
      </c>
      <c r="E18" s="2">
        <f t="shared" si="2"/>
        <v>1590</v>
      </c>
      <c r="F18" s="2">
        <f t="shared" si="0"/>
        <v>27182.851812478188</v>
      </c>
    </row>
    <row r="19" spans="1:6" x14ac:dyDescent="0.6">
      <c r="A19" t="s">
        <v>14</v>
      </c>
      <c r="B19" s="1">
        <v>58492759</v>
      </c>
      <c r="C19">
        <v>-195</v>
      </c>
      <c r="D19">
        <v>-372</v>
      </c>
      <c r="E19" s="2">
        <f t="shared" si="2"/>
        <v>368</v>
      </c>
      <c r="F19" s="2">
        <f t="shared" si="0"/>
        <v>6291.3770232653933</v>
      </c>
    </row>
    <row r="20" spans="1:6" x14ac:dyDescent="0.6">
      <c r="A20" t="s">
        <v>15</v>
      </c>
      <c r="B20" s="1">
        <v>58492759</v>
      </c>
      <c r="C20" s="1">
        <v>1580</v>
      </c>
      <c r="D20" s="1">
        <v>1201</v>
      </c>
      <c r="E20" s="2">
        <f t="shared" si="2"/>
        <v>3153</v>
      </c>
      <c r="F20" s="2">
        <f t="shared" si="0"/>
        <v>53904.108028140719</v>
      </c>
    </row>
    <row r="21" spans="1:6" x14ac:dyDescent="0.6">
      <c r="A21" t="s">
        <v>16</v>
      </c>
      <c r="B21" s="1">
        <v>58492759</v>
      </c>
      <c r="C21">
        <v>256</v>
      </c>
      <c r="D21">
        <v>-544</v>
      </c>
      <c r="E21" s="2">
        <f t="shared" si="2"/>
        <v>1897</v>
      </c>
      <c r="F21" s="2">
        <f t="shared" si="0"/>
        <v>32431.364709604481</v>
      </c>
    </row>
    <row r="22" spans="1:6" x14ac:dyDescent="0.6">
      <c r="A22" t="s">
        <v>17</v>
      </c>
      <c r="B22" s="1">
        <v>58492759</v>
      </c>
      <c r="C22">
        <v>503</v>
      </c>
      <c r="D22">
        <v>385</v>
      </c>
      <c r="E22" s="2">
        <f t="shared" si="2"/>
        <v>2842</v>
      </c>
      <c r="F22" s="2">
        <f t="shared" si="0"/>
        <v>48587.210598152844</v>
      </c>
    </row>
    <row r="23" spans="1:6" x14ac:dyDescent="0.6">
      <c r="A23" t="s">
        <v>18</v>
      </c>
      <c r="B23" s="1">
        <v>58492759</v>
      </c>
      <c r="C23">
        <v>912</v>
      </c>
      <c r="D23">
        <v>592</v>
      </c>
      <c r="E23" s="2">
        <f t="shared" si="2"/>
        <v>2583</v>
      </c>
      <c r="F23" s="2">
        <f t="shared" si="0"/>
        <v>44159.312095365516</v>
      </c>
    </row>
    <row r="24" spans="1:6" x14ac:dyDescent="0.6">
      <c r="A24" t="s">
        <v>19</v>
      </c>
      <c r="B24" s="1">
        <v>58492759</v>
      </c>
      <c r="C24" s="1">
        <v>1762</v>
      </c>
      <c r="D24" s="1">
        <v>1376</v>
      </c>
      <c r="E24" s="2">
        <f t="shared" si="2"/>
        <v>4939</v>
      </c>
      <c r="F24" s="2">
        <f t="shared" si="0"/>
        <v>84437.80195083635</v>
      </c>
    </row>
  </sheetData>
  <phoneticPr fontId="18" type="noConversion"/>
  <conditionalFormatting sqref="F2:F2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아모레퍼시픽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2025-01-28T10:20:59Z</dcterms:created>
  <dcterms:modified xsi:type="dcterms:W3CDTF">2026-05-11T14:29:24Z</dcterms:modified>
</cp:coreProperties>
</file>