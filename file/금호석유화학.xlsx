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F1A11B36-CC2C-449B-85EC-50430D201CDD}" xr6:coauthVersionLast="47" xr6:coauthVersionMax="47" xr10:uidLastSave="{00000000-0000-0000-0000-000000000000}"/>
  <bookViews>
    <workbookView xWindow="28702" yWindow="-98" windowWidth="28995" windowHeight="16395" xr2:uid="{574589F6-5CF4-430A-9C77-3C46C2002903}"/>
  </bookViews>
  <sheets>
    <sheet name="금호석유화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" i="1"/>
  <c r="E3" i="1"/>
  <c r="E2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<sst xmlns="http://schemas.openxmlformats.org/spreadsheetml/2006/main" count="29" uniqueCount="29">
  <si>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</si>
  <si>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</si>
  <si>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</si>
  <si>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</si>
  <si>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</si>
  <si>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</si>
  <si>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</si>
  <si>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</si>
  <si>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</si>
  <si>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</si>
  <si>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</si>
  <si>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</si>
  <si>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</si>
  <si>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</si>
  <si>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</si>
  <si>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</si>
  <si>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</si>
  <si>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</si>
  <si>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</si>
  <si>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</si>
  <si>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2025.2Q</t>
    <phoneticPr fontId="18" type="noConversion"/>
  </si>
  <si>
    <t>4Q_income</t>
  </si>
  <si>
    <t>목표가</t>
  </si>
  <si>
    <t>상장주식수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</si>
  <si>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</si>
  <si>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</si>
  <si>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</si>
  <si>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2026.2Q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</si>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</sst>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42" applyNumberFormat="1" applyFont="1">
      <alignment vertical="center"/>
    </xf>
    <xf numFmtId="176" fontId="14" fillId="33" borderId="0" xfId="0" applyNumberFormat="1" applyFont="1" applyFill="1">
      <alignment vertical="center"/>
    </xf>
    <xf numFmtId="176" fontId="14" fillId="0" borderId="0" xfId="0" applyNumberFormat="1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28"/>
  <sheetViews>
    <sheetView tabSelected="1" workbookViewId="0">
      <selection activeCell="F2" sqref="F2:F24"/>
    </sheetView>
  </sheetViews>
  <sheetFormatPr defaultRowHeight="16.899999999999999" x14ac:dyDescent="0.6"/>
  <cols>
    <col min="2" max="2" width="11.4375" bestFit="1" customWidth="1"/>
    <col min="3" max="4" width="9.0625" bestFit="1" customWidth="1"/>
    <col min="5" max="5" width="12.8125" customWidth="1"/>
    <col min="6" max="6" width="9.125" bestFit="1" customWidth="1"/>
  </cols>
  <sheetData>
    <row r="1" spans="1:6" x14ac:dyDescent="0.6">
      <c r="A1" t="s">
        <v>0</v>
      </c>
      <c r="B1" t="s">
        <v>23</v>
      </c>
      <c r="C1" t="s">
        <v>1</v>
      </c>
      <c r="D1" t="s">
        <v>2</v>
      </c>
      <c r="E1" t="s">
        <v>21</v>
      </c>
      <c r="F1" t="s">
        <v>22</v>
      </c>
    </row>
    <row r="2" spans="1:6" x14ac:dyDescent="0.6">
      <c r="A2" t="s">
        <v>28</v>
      </c>
      <c r="B2" s="1">
        <v>26031742</v>
      </c>
      <c r="C2" s="3">
        <v>1052.3</v>
      </c>
      <c r="D2" s="3">
        <v>1057.8</v>
      </c>
      <c r="E2" s="2">
        <f>(C2*2+C3*2)</f>
        <v>3882.2</v>
      </c>
      <c r="F2" s="2">
        <f>E2*100000000/B2*10</f>
        <v>149133.31578040379</v>
      </c>
    </row>
    <row r="3" spans="1:6" x14ac:dyDescent="0.6">
      <c r="A3" t="s">
        <v>27</v>
      </c>
      <c r="B3" s="1">
        <v>26031742</v>
      </c>
      <c r="C3" s="3">
        <v>888.8</v>
      </c>
      <c r="D3" s="3">
        <v>937.6</v>
      </c>
      <c r="E3" s="2">
        <f>(C2*2+C3*2)</f>
        <v>3882.2</v>
      </c>
      <c r="F3" s="2">
        <f t="shared" ref="F3:F24" si="0">E3*100000000/B3*10</f>
        <v>149133.31578040379</v>
      </c>
    </row>
    <row r="4" spans="1:6" x14ac:dyDescent="0.6">
      <c r="A4" t="s">
        <v>26</v>
      </c>
      <c r="B4" s="1">
        <v>26031742</v>
      </c>
      <c r="C4" s="3">
        <v>734</v>
      </c>
      <c r="D4" s="3">
        <v>813</v>
      </c>
      <c r="E4" s="2">
        <f>(C3*2+C4*2)</f>
        <v>3245.6</v>
      </c>
      <c r="F4" s="2">
        <f t="shared" si="0"/>
        <v>124678.55589533733</v>
      </c>
    </row>
    <row r="5" spans="1:6" x14ac:dyDescent="0.6">
      <c r="A5" t="s">
        <v>25</v>
      </c>
      <c r="B5" s="1">
        <v>26031742</v>
      </c>
      <c r="C5" s="3">
        <v>15.6</v>
      </c>
      <c r="D5" s="3">
        <v>14.2</v>
      </c>
      <c r="E5" s="2">
        <f>(C3+C4+C5*2)</f>
        <v>1654</v>
      </c>
      <c r="F5" s="2">
        <f t="shared" si="0"/>
        <v>63537.814718661546</v>
      </c>
    </row>
    <row r="6" spans="1:6" x14ac:dyDescent="0.6">
      <c r="A6" t="s">
        <v>24</v>
      </c>
      <c r="B6" s="1">
        <v>26031742</v>
      </c>
      <c r="C6" s="3">
        <v>844</v>
      </c>
      <c r="D6" s="3">
        <v>1069</v>
      </c>
      <c r="E6" s="2">
        <f t="shared" ref="E6:E23" si="1">(C4+C5+C6*2)</f>
        <v>2437.6</v>
      </c>
      <c r="F6" s="2">
        <f t="shared" si="0"/>
        <v>93639.526697829133</v>
      </c>
    </row>
    <row r="7" spans="1:6" x14ac:dyDescent="0.6">
      <c r="A7" t="s">
        <v>20</v>
      </c>
      <c r="B7" s="1">
        <v>26031742</v>
      </c>
      <c r="C7" s="3">
        <v>652</v>
      </c>
      <c r="D7" s="3">
        <v>577</v>
      </c>
      <c r="E7" s="2">
        <f t="shared" si="1"/>
        <v>2163.6</v>
      </c>
      <c r="F7" s="2">
        <f t="shared" si="0"/>
        <v>83113.915311545425</v>
      </c>
    </row>
    <row r="8" spans="1:6" x14ac:dyDescent="0.6">
      <c r="A8" t="s">
        <v>3</v>
      </c>
      <c r="B8" s="1">
        <v>26031742</v>
      </c>
      <c r="C8" s="4">
        <v>1206</v>
      </c>
      <c r="D8" s="4">
        <v>1248</v>
      </c>
      <c r="E8" s="2">
        <f t="shared" si="1"/>
        <v>3908</v>
      </c>
      <c r="F8" s="2">
        <f t="shared" si="0"/>
        <v>150124.41349487868</v>
      </c>
    </row>
    <row r="9" spans="1:6" x14ac:dyDescent="0.6">
      <c r="A9" t="s">
        <v>4</v>
      </c>
      <c r="B9" s="1">
        <v>26031742</v>
      </c>
      <c r="C9" s="4">
        <v>100</v>
      </c>
      <c r="D9" s="4">
        <v>613</v>
      </c>
      <c r="E9" s="2">
        <f t="shared" si="1"/>
        <v>2058</v>
      </c>
      <c r="F9" s="2">
        <f t="shared" si="0"/>
        <v>79057.329317415642</v>
      </c>
    </row>
    <row r="10" spans="1:6" x14ac:dyDescent="0.6">
      <c r="A10" t="s">
        <v>5</v>
      </c>
      <c r="B10" s="1">
        <v>26031742</v>
      </c>
      <c r="C10" s="1">
        <v>651</v>
      </c>
      <c r="D10" s="1">
        <v>531</v>
      </c>
      <c r="E10" s="2">
        <f t="shared" si="1"/>
        <v>2608</v>
      </c>
      <c r="F10" s="2">
        <f t="shared" si="0"/>
        <v>100185.38137017493</v>
      </c>
    </row>
    <row r="11" spans="1:6" x14ac:dyDescent="0.6">
      <c r="A11" t="s">
        <v>6</v>
      </c>
      <c r="B11" s="1">
        <v>26031742</v>
      </c>
      <c r="C11" s="1">
        <v>1191</v>
      </c>
      <c r="D11" s="1">
        <v>1316</v>
      </c>
      <c r="E11" s="2">
        <f t="shared" si="1"/>
        <v>3133</v>
      </c>
      <c r="F11" s="2">
        <f t="shared" si="0"/>
        <v>120353.06742053604</v>
      </c>
    </row>
    <row r="12" spans="1:6" x14ac:dyDescent="0.6">
      <c r="A12" t="s">
        <v>7</v>
      </c>
      <c r="B12" s="1">
        <v>26031742</v>
      </c>
      <c r="C12" s="1">
        <v>786</v>
      </c>
      <c r="D12" s="1">
        <v>1026</v>
      </c>
      <c r="E12" s="2">
        <f t="shared" si="1"/>
        <v>3414</v>
      </c>
      <c r="F12" s="2">
        <f t="shared" si="0"/>
        <v>131147.58128749125</v>
      </c>
    </row>
    <row r="13" spans="1:6" x14ac:dyDescent="0.6">
      <c r="A13" t="s">
        <v>8</v>
      </c>
      <c r="B13" s="1">
        <v>26031742</v>
      </c>
      <c r="C13" s="1">
        <v>367</v>
      </c>
      <c r="D13" s="1">
        <v>933</v>
      </c>
      <c r="E13" s="2">
        <f t="shared" si="1"/>
        <v>2711</v>
      </c>
      <c r="F13" s="2">
        <f t="shared" si="0"/>
        <v>104142.08930005529</v>
      </c>
    </row>
    <row r="14" spans="1:6" x14ac:dyDescent="0.6">
      <c r="A14" t="s">
        <v>9</v>
      </c>
      <c r="B14" s="1">
        <v>26031742</v>
      </c>
      <c r="C14" s="1">
        <v>842</v>
      </c>
      <c r="D14" s="1">
        <v>1037</v>
      </c>
      <c r="E14" s="2">
        <f t="shared" si="1"/>
        <v>2837</v>
      </c>
      <c r="F14" s="2">
        <f t="shared" si="0"/>
        <v>108982.33395214195</v>
      </c>
    </row>
    <row r="15" spans="1:6" x14ac:dyDescent="0.6">
      <c r="A15" t="s">
        <v>10</v>
      </c>
      <c r="B15" s="1">
        <v>26031742</v>
      </c>
      <c r="C15" s="1">
        <v>1079</v>
      </c>
      <c r="D15" s="1">
        <v>1174</v>
      </c>
      <c r="E15" s="2">
        <f t="shared" si="1"/>
        <v>3367</v>
      </c>
      <c r="F15" s="2">
        <f t="shared" si="0"/>
        <v>129342.09320298272</v>
      </c>
    </row>
    <row r="16" spans="1:6" x14ac:dyDescent="0.6">
      <c r="A16" t="s">
        <v>11</v>
      </c>
      <c r="B16" s="1">
        <v>26031742</v>
      </c>
      <c r="C16" s="1">
        <v>1302</v>
      </c>
      <c r="D16" s="1">
        <v>1326</v>
      </c>
      <c r="E16" s="2">
        <f t="shared" si="1"/>
        <v>4525</v>
      </c>
      <c r="F16" s="2">
        <f t="shared" si="0"/>
        <v>173826.24643406499</v>
      </c>
    </row>
    <row r="17" spans="1:6" x14ac:dyDescent="0.6">
      <c r="A17" t="s">
        <v>12</v>
      </c>
      <c r="B17" s="1">
        <v>26031742</v>
      </c>
      <c r="C17" s="1">
        <v>1138</v>
      </c>
      <c r="D17" s="1">
        <v>1491</v>
      </c>
      <c r="E17" s="2">
        <f t="shared" si="1"/>
        <v>4657</v>
      </c>
      <c r="F17" s="2">
        <f t="shared" si="0"/>
        <v>178896.9789267272</v>
      </c>
    </row>
    <row r="18" spans="1:6" x14ac:dyDescent="0.6">
      <c r="A18" t="s">
        <v>13</v>
      </c>
      <c r="B18" s="1">
        <v>26031742</v>
      </c>
      <c r="C18" s="1">
        <v>2305</v>
      </c>
      <c r="D18" s="1">
        <v>2108</v>
      </c>
      <c r="E18" s="2">
        <f t="shared" si="1"/>
        <v>7050</v>
      </c>
      <c r="F18" s="2">
        <f t="shared" si="0"/>
        <v>270823.21267627808</v>
      </c>
    </row>
    <row r="19" spans="1:6" x14ac:dyDescent="0.6">
      <c r="A19" t="s">
        <v>14</v>
      </c>
      <c r="B19" s="1">
        <v>26031742</v>
      </c>
      <c r="C19" s="1">
        <v>3540</v>
      </c>
      <c r="D19" s="1">
        <v>2869</v>
      </c>
      <c r="E19" s="2">
        <f t="shared" si="1"/>
        <v>10523</v>
      </c>
      <c r="F19" s="2">
        <f t="shared" si="0"/>
        <v>404237.25772942894</v>
      </c>
    </row>
    <row r="20" spans="1:6" x14ac:dyDescent="0.6">
      <c r="A20" t="s">
        <v>15</v>
      </c>
      <c r="B20" s="1">
        <v>26031742</v>
      </c>
      <c r="C20" s="1">
        <v>4491</v>
      </c>
      <c r="D20" s="1">
        <v>3733</v>
      </c>
      <c r="E20" s="2">
        <f t="shared" si="1"/>
        <v>14827</v>
      </c>
      <c r="F20" s="2">
        <f t="shared" si="0"/>
        <v>569573.8687022943</v>
      </c>
    </row>
    <row r="21" spans="1:6" x14ac:dyDescent="0.6">
      <c r="A21" t="s">
        <v>16</v>
      </c>
      <c r="B21" s="1">
        <v>26031742</v>
      </c>
      <c r="C21" s="1">
        <v>4153</v>
      </c>
      <c r="D21" s="1">
        <v>3023</v>
      </c>
      <c r="E21" s="2">
        <f t="shared" si="1"/>
        <v>16337</v>
      </c>
      <c r="F21" s="2">
        <f t="shared" si="0"/>
        <v>627579.97524714249</v>
      </c>
    </row>
    <row r="22" spans="1:6" x14ac:dyDescent="0.6">
      <c r="A22" t="s">
        <v>17</v>
      </c>
      <c r="B22" s="1">
        <v>26031742</v>
      </c>
      <c r="C22" s="1">
        <v>6253</v>
      </c>
      <c r="D22" s="1">
        <v>6046</v>
      </c>
      <c r="E22" s="2">
        <f t="shared" si="1"/>
        <v>21150</v>
      </c>
      <c r="F22" s="2">
        <f t="shared" si="0"/>
        <v>812469.63802883413</v>
      </c>
    </row>
    <row r="23" spans="1:6" x14ac:dyDescent="0.6">
      <c r="A23" t="s">
        <v>18</v>
      </c>
      <c r="B23" s="1">
        <v>26031742</v>
      </c>
      <c r="C23" s="1">
        <v>7537</v>
      </c>
      <c r="D23" s="1">
        <v>5831</v>
      </c>
      <c r="E23" s="2">
        <f t="shared" si="1"/>
        <v>25480</v>
      </c>
      <c r="F23" s="2">
        <f t="shared" si="0"/>
        <v>978805.02964419359</v>
      </c>
    </row>
    <row r="24" spans="1:6" x14ac:dyDescent="0.6">
      <c r="A24" t="s">
        <v>19</v>
      </c>
      <c r="B24" s="1">
        <v>26031742</v>
      </c>
      <c r="C24" s="1">
        <v>6125</v>
      </c>
      <c r="D24" s="1">
        <v>4756</v>
      </c>
      <c r="E24" s="2">
        <f>(C22+C23+C24*2)</f>
        <v>26040</v>
      </c>
      <c r="F24" s="2">
        <f t="shared" si="0"/>
        <v>1000317.2280979122</v>
      </c>
    </row>
    <row r="25" spans="1:6" x14ac:dyDescent="0.6">
      <c r="B25" s="1"/>
      <c r="C25" s="1">
        <v>2468</v>
      </c>
      <c r="D25" s="1">
        <v>1801</v>
      </c>
      <c r="E25" s="2"/>
      <c r="F25" s="2"/>
    </row>
    <row r="26" spans="1:6" x14ac:dyDescent="0.6">
      <c r="B26" s="1"/>
      <c r="C26" s="1"/>
      <c r="D26" s="1"/>
      <c r="E26" s="1"/>
      <c r="F26" s="1"/>
    </row>
    <row r="27" spans="1:6" x14ac:dyDescent="0.6">
      <c r="B27" s="1"/>
      <c r="C27" s="1"/>
      <c r="D27" s="1"/>
      <c r="E27" s="1"/>
      <c r="F27" s="1"/>
    </row>
    <row r="28" spans="1:6" x14ac:dyDescent="0.6">
      <c r="B28" s="1"/>
      <c r="C28" s="1"/>
      <c r="D28" s="1"/>
      <c r="E28" s="1"/>
      <c r="F28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금호석유화학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2025-01-31T15:13:54Z</dcterms:created>
  <dcterms:modified xsi:type="dcterms:W3CDTF">2026-04-10T22:37:22Z</dcterms:modified>
</cp:coreProperties>
</file>