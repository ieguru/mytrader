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2766B187-9C4E-40A3-844E-2EBE4A102C9D}" xr6:coauthVersionLast="47" xr6:coauthVersionMax="47" xr10:uidLastSave="{00000000-0000-0000-0000-000000000000}"/>
  <bookViews>
    <workbookView xWindow="28702" yWindow="-98" windowWidth="28995" windowHeight="16395" xr2:uid="{B4A2AFA2-309D-402A-8814-206C193F4B61}"/>
  </bookViews>
  <sheets>
    <sheet name="OC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4" i="1"/>
  <c r="E3" i="1"/>
  <c r="E2" i="1"/>
</calcChain>
</file>

<file path=xl/sharedStrings.xml><?xml version="1.0" encoding="utf-8"?>
<sst xmlns="http://schemas.openxmlformats.org/spreadsheetml/2006/main" count="22" uniqueCount="22">
  <si>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</si>
  <si>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</si>
  <si>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</si>
  <si>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</si>
  <si>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</si>
  <si>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</si>
  <si>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</si>
  <si>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</si>
  <si>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</si>
  <si>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</si>
  <si>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</si>
  <si>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상장주식수</t>
  </si>
  <si>
    <t>4Q_income</t>
  </si>
  <si>
    <t>목표가</t>
  </si>
  <si>
    <t>2025.2Q</t>
  </si>
  <si>
    <t>2025.3Q</t>
    <phoneticPr fontId="18" type="noConversion"/>
  </si>
  <si>
    <t>2025.4Q</t>
    <phoneticPr fontId="18" type="noConversion"/>
  </si>
  <si>
    <t>2026.2Q</t>
    <phoneticPr fontId="18" type="noConversion"/>
  </si>
  <si>
    <t>2026.1Q</t>
    <phoneticPr fontId="18" type="noConversion"/>
  </si>
  <si>
    <t>2026.3Q</t>
    <phoneticPr fontId="18" type="noConversion"/>
  </si>
  <si>
    <t>2026.4Q</t>
    <phoneticPr fontId="18" type="noConversion"/>
  </si>
  <si>
    <t>2027.1Q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</si>
</sst>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 ;[Red]\-#,##0\ "/>
    <numFmt numFmtId="177" formatCode="#,##0_ 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41" fontId="0" fillId="0" borderId="0" xfId="42" applyFont="1">
      <alignment vertical="center"/>
    </xf>
    <xf numFmtId="177" fontId="19" fillId="0" borderId="0" xfId="42" applyNumberFormat="1" applyFont="1" applyFill="1">
      <alignment vertical="center"/>
    </xf>
    <xf numFmtId="177" fontId="0" fillId="0" borderId="0" xfId="42" applyNumberFormat="1" applyFont="1">
      <alignment vertical="center"/>
    </xf>
    <xf numFmtId="177" fontId="19" fillId="0" borderId="0" xfId="0" applyNumberFormat="1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F6A8-5540-41F3-90A1-95981879DC13}">
  <dimension ref="A1:F30"/>
  <sheetViews>
    <sheetView tabSelected="1" workbookViewId="0">
      <selection activeCell="I5" sqref="I5"/>
    </sheetView>
  </sheetViews>
  <sheetFormatPr defaultRowHeight="16.899999999999999"/>
  <cols>
    <col min="2" max="2" width="11" bestFit="1" customWidth="1"/>
    <col min="5" max="5" width="10.25" bestFit="1" customWidth="1"/>
  </cols>
  <sheetData>
    <row r="1" spans="1:6">
      <c r="A1" t="s">
        <v>0</v>
      </c>
      <c r="B1" t="s">
        <v>11</v>
      </c>
      <c r="C1" t="s">
        <v>1</v>
      </c>
      <c r="D1" t="s">
        <v>2</v>
      </c>
      <c r="E1" t="s">
        <v>12</v>
      </c>
      <c r="F1" t="s">
        <v>13</v>
      </c>
    </row>
    <row r="2" spans="1:6">
      <c r="A2" t="s">
        <v>21</v>
      </c>
      <c r="B2" s="1">
        <v>8952495</v>
      </c>
      <c r="C2" s="5">
        <v>530</v>
      </c>
      <c r="D2" s="5">
        <v>300</v>
      </c>
      <c r="E2" s="6">
        <f>(D2*2+D3*2)</f>
        <v>1034</v>
      </c>
      <c r="F2" s="6">
        <f>E2*100000000/B2*15</f>
        <v>173247.79293370174</v>
      </c>
    </row>
    <row r="3" spans="1:6">
      <c r="A3" t="s">
        <v>20</v>
      </c>
      <c r="B3" s="1">
        <v>8952495</v>
      </c>
      <c r="C3" s="5">
        <v>433.3</v>
      </c>
      <c r="D3" s="5">
        <v>217</v>
      </c>
      <c r="E3" s="6">
        <f>(D3*2+D2*2)</f>
        <v>1034</v>
      </c>
      <c r="F3" s="6">
        <f t="shared" ref="F3" si="0">E3*100000000/B3*10</f>
        <v>115498.52862246783</v>
      </c>
    </row>
    <row r="4" spans="1:6">
      <c r="A4" t="s">
        <v>19</v>
      </c>
      <c r="B4" s="1">
        <v>8952495</v>
      </c>
      <c r="C4" s="5">
        <v>479.7</v>
      </c>
      <c r="D4" s="5">
        <v>287</v>
      </c>
      <c r="E4" s="6">
        <f>D4*1.5+D3*1.5+D2</f>
        <v>1056</v>
      </c>
      <c r="F4" s="6">
        <f>E4*100000000/B4*10</f>
        <v>117955.94412507351</v>
      </c>
    </row>
    <row r="5" spans="1:6">
      <c r="A5" t="s">
        <v>17</v>
      </c>
      <c r="B5" s="1">
        <v>8952495</v>
      </c>
      <c r="C5" s="5">
        <v>433</v>
      </c>
      <c r="D5" s="5">
        <v>249</v>
      </c>
      <c r="E5" s="6">
        <f t="shared" ref="E5:E17" si="1">D5*1.5+D4*1.5+D3</f>
        <v>1021</v>
      </c>
      <c r="F5" s="6">
        <f t="shared" ref="F5:F17" si="2">E5*100000000/B5*10</f>
        <v>114046.41946183718</v>
      </c>
    </row>
    <row r="6" spans="1:6">
      <c r="A6" t="s">
        <v>18</v>
      </c>
      <c r="B6" s="1">
        <v>8952495</v>
      </c>
      <c r="C6" s="5">
        <v>278</v>
      </c>
      <c r="D6" s="5">
        <v>248</v>
      </c>
      <c r="E6" s="6">
        <f t="shared" si="1"/>
        <v>1032.5</v>
      </c>
      <c r="F6" s="6">
        <f t="shared" si="2"/>
        <v>115330.97756547197</v>
      </c>
    </row>
    <row r="7" spans="1:6">
      <c r="A7" t="s">
        <v>16</v>
      </c>
      <c r="B7" s="1">
        <v>8952495</v>
      </c>
      <c r="C7" s="5">
        <v>28</v>
      </c>
      <c r="D7" s="5">
        <v>35</v>
      </c>
      <c r="E7" s="6">
        <f t="shared" si="1"/>
        <v>673.5</v>
      </c>
      <c r="F7" s="6">
        <f t="shared" si="2"/>
        <v>75230.424591133531</v>
      </c>
    </row>
    <row r="8" spans="1:6">
      <c r="A8" t="s">
        <v>15</v>
      </c>
      <c r="B8" s="1">
        <v>8952495</v>
      </c>
      <c r="C8" s="7">
        <v>-103</v>
      </c>
      <c r="D8" s="7">
        <v>-522</v>
      </c>
      <c r="E8" s="6">
        <f t="shared" si="1"/>
        <v>-482.5</v>
      </c>
      <c r="F8" s="6">
        <f t="shared" si="2"/>
        <v>-53895.590000329525</v>
      </c>
    </row>
    <row r="9" spans="1:6">
      <c r="A9" t="s">
        <v>14</v>
      </c>
      <c r="B9" s="1">
        <v>8952495</v>
      </c>
      <c r="C9" s="7">
        <v>-23</v>
      </c>
      <c r="D9" s="7">
        <v>-24</v>
      </c>
      <c r="E9" s="6">
        <f t="shared" si="1"/>
        <v>-784</v>
      </c>
      <c r="F9" s="6">
        <f t="shared" si="2"/>
        <v>-87573.352456493973</v>
      </c>
    </row>
    <row r="10" spans="1:6">
      <c r="A10" t="s">
        <v>3</v>
      </c>
      <c r="B10" s="1">
        <v>8952495</v>
      </c>
      <c r="C10" s="7">
        <v>102</v>
      </c>
      <c r="D10" s="7">
        <v>-173</v>
      </c>
      <c r="E10" s="6">
        <f t="shared" si="1"/>
        <v>-817.5</v>
      </c>
      <c r="F10" s="6">
        <f t="shared" si="2"/>
        <v>-91315.326062734472</v>
      </c>
    </row>
    <row r="11" spans="1:6">
      <c r="A11" t="s">
        <v>4</v>
      </c>
      <c r="B11" s="1">
        <v>8952495</v>
      </c>
      <c r="C11" s="7">
        <v>204</v>
      </c>
      <c r="D11" s="7">
        <v>125</v>
      </c>
      <c r="E11" s="6">
        <f t="shared" si="1"/>
        <v>-96</v>
      </c>
      <c r="F11" s="6">
        <f t="shared" si="2"/>
        <v>-10723.267647733956</v>
      </c>
    </row>
    <row r="12" spans="1:6">
      <c r="A12" t="s">
        <v>5</v>
      </c>
      <c r="B12" s="1">
        <v>8952495</v>
      </c>
      <c r="C12" s="7">
        <v>177</v>
      </c>
      <c r="D12" s="7">
        <v>139</v>
      </c>
      <c r="E12" s="6">
        <f t="shared" si="1"/>
        <v>223</v>
      </c>
      <c r="F12" s="6">
        <f t="shared" si="2"/>
        <v>24909.257140048667</v>
      </c>
    </row>
    <row r="13" spans="1:6">
      <c r="A13" t="s">
        <v>6</v>
      </c>
      <c r="B13" s="1">
        <v>8952495</v>
      </c>
      <c r="C13" s="7">
        <v>336</v>
      </c>
      <c r="D13" s="7">
        <v>248</v>
      </c>
      <c r="E13" s="6">
        <f t="shared" si="1"/>
        <v>705.5</v>
      </c>
      <c r="F13" s="6">
        <f t="shared" si="2"/>
        <v>78804.847140378188</v>
      </c>
    </row>
    <row r="14" spans="1:6">
      <c r="A14" t="s">
        <v>7</v>
      </c>
      <c r="B14" s="1">
        <v>8952495</v>
      </c>
      <c r="C14" s="7">
        <v>388</v>
      </c>
      <c r="D14" s="7">
        <v>385</v>
      </c>
      <c r="E14" s="6">
        <f t="shared" si="1"/>
        <v>1088.5</v>
      </c>
      <c r="F14" s="6">
        <f t="shared" si="2"/>
        <v>121586.21702665012</v>
      </c>
    </row>
    <row r="15" spans="1:6">
      <c r="A15" t="s">
        <v>8</v>
      </c>
      <c r="B15" s="1">
        <v>8952495</v>
      </c>
      <c r="C15" s="7">
        <v>202</v>
      </c>
      <c r="D15" s="7">
        <v>114</v>
      </c>
      <c r="E15" s="6">
        <f t="shared" si="1"/>
        <v>996.5</v>
      </c>
      <c r="F15" s="6">
        <f t="shared" si="2"/>
        <v>111309.75219757174</v>
      </c>
    </row>
    <row r="16" spans="1:6">
      <c r="A16" t="s">
        <v>9</v>
      </c>
      <c r="B16" s="1">
        <v>8952495</v>
      </c>
      <c r="C16" s="7">
        <v>220</v>
      </c>
      <c r="D16" s="7">
        <v>140</v>
      </c>
      <c r="E16" s="6">
        <f t="shared" si="1"/>
        <v>766</v>
      </c>
      <c r="F16" s="6">
        <f t="shared" si="2"/>
        <v>85562.739772543864</v>
      </c>
    </row>
    <row r="17" spans="1:6">
      <c r="A17" t="s">
        <v>10</v>
      </c>
      <c r="B17" s="1">
        <v>8952495</v>
      </c>
      <c r="C17" s="7">
        <v>152</v>
      </c>
      <c r="D17" s="7">
        <v>109</v>
      </c>
      <c r="E17" s="6">
        <f t="shared" si="1"/>
        <v>487.5</v>
      </c>
      <c r="F17" s="6">
        <f t="shared" si="2"/>
        <v>54454.09352364899</v>
      </c>
    </row>
    <row r="18" spans="1:6">
      <c r="B18" s="1"/>
      <c r="C18" s="3"/>
      <c r="D18" s="1"/>
      <c r="F18" s="4"/>
    </row>
    <row r="19" spans="1:6">
      <c r="B19" s="1"/>
      <c r="C19" s="3"/>
      <c r="D19" s="1"/>
      <c r="F19" s="4"/>
    </row>
    <row r="20" spans="1:6">
      <c r="B20" s="1"/>
      <c r="C20" s="3"/>
      <c r="D20" s="1"/>
      <c r="F20" s="4"/>
    </row>
    <row r="21" spans="1:6">
      <c r="B21" s="1"/>
      <c r="C21" s="3"/>
      <c r="D21" s="1"/>
      <c r="F21" s="4"/>
    </row>
    <row r="22" spans="1:6">
      <c r="B22" s="1"/>
      <c r="C22" s="3"/>
      <c r="D22" s="1"/>
      <c r="F22" s="4"/>
    </row>
    <row r="23" spans="1:6">
      <c r="B23" s="1"/>
      <c r="C23" s="3"/>
      <c r="D23" s="1"/>
      <c r="F23" s="4"/>
    </row>
    <row r="24" spans="1:6">
      <c r="B24" s="1"/>
      <c r="C24" s="3"/>
      <c r="D24" s="1"/>
      <c r="F24" s="4"/>
    </row>
    <row r="25" spans="1:6">
      <c r="B25" s="1"/>
      <c r="C25" s="3"/>
      <c r="D25" s="1"/>
      <c r="F25" s="4"/>
    </row>
    <row r="26" spans="1:6">
      <c r="B26" s="1"/>
      <c r="C26" s="3"/>
      <c r="D26" s="1"/>
      <c r="F26" s="4"/>
    </row>
    <row r="27" spans="1:6">
      <c r="B27" s="1"/>
      <c r="C27" s="3"/>
      <c r="D27" s="1"/>
      <c r="F27" s="4"/>
    </row>
    <row r="28" spans="1:6">
      <c r="B28" s="1"/>
      <c r="C28" s="3"/>
      <c r="D28" s="1"/>
      <c r="F28" s="4"/>
    </row>
    <row r="29" spans="1:6">
      <c r="B29" s="1"/>
      <c r="C29" s="3"/>
      <c r="D29" s="1"/>
      <c r="F29" s="2"/>
    </row>
    <row r="30" spans="1:6">
      <c r="B30" s="1"/>
      <c r="C30" s="3"/>
      <c r="D30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2025-02-02T03:12:20Z</dcterms:created>
  <dcterms:modified xsi:type="dcterms:W3CDTF">2026-09-20T23:14:38Z</dcterms:modified>
</cp:coreProperties>
</file>