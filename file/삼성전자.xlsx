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37B734BD-FAFD-4060-AC36-4CC4614F2B73}" xr6:coauthVersionLast="47" xr6:coauthVersionMax="47" xr10:uidLastSave="{00000000-0000-0000-0000-000000000000}"/>
  <bookViews>
    <workbookView xWindow="-98" yWindow="-98" windowWidth="28996" windowHeight="15675" xr2:uid="{C8D1CA31-9A8D-48BC-97FC-23CBA29A2F93}"/>
  </bookViews>
  <sheets>
    <sheet name="삼성전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" i="1"/>
  <c r="E2" i="1"/>
</calcChain>
</file>

<file path=xl/sharedStrings.xml><?xml version="1.0" encoding="utf-8"?>
<sst xmlns="http://schemas.openxmlformats.org/spreadsheetml/2006/main" count="35" uniqueCount="35">
  <si>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</si>
  <si>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</si>
  <si>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</si>
  <si>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</si>
  <si>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</si>
  <si>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</si>
  <si>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</si>
  <si>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</si>
  <si>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</si>
  <si>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</si>
  <si>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</si>
  <si>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</si>
  <si>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</si>
  <si>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</si>
  <si>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</si>
  <si>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</si>
  <si>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</si>
  <si>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</si>
  <si>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</si>
  <si>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</si>
  <si>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</si>
  <si>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</si>
  <si>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</si>
  <si>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</si>
  <si>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</si>
  <si>
    <t>상장주식수</t>
  </si>
  <si>
    <t>4Q_income</t>
  </si>
  <si>
    <t>목표가</t>
  </si>
  <si>
    <t>2025.4Q</t>
  </si>
  <si>
    <t>2025.3Q</t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</si>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</sst>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0" fontId="0" fillId="34" borderId="0" xfId="0" applyFill="1">
      <alignment vertical="center"/>
    </xf>
    <xf numFmtId="3" fontId="0" fillId="34" borderId="0" xfId="0" applyNumberFormat="1" applyFill="1">
      <alignment vertical="center"/>
    </xf>
    <xf numFmtId="41" fontId="0" fillId="34" borderId="0" xfId="42" applyFont="1" applyFill="1">
      <alignment vertical="center"/>
    </xf>
    <xf numFmtId="0" fontId="19" fillId="34" borderId="10" xfId="0" applyFont="1" applyFill="1" applyBorder="1">
      <alignment vertical="center"/>
    </xf>
    <xf numFmtId="3" fontId="19" fillId="34" borderId="10" xfId="0" applyNumberFormat="1" applyFont="1" applyFill="1" applyBorder="1">
      <alignment vertical="center"/>
    </xf>
    <xf numFmtId="41" fontId="19" fillId="34" borderId="10" xfId="42" applyFont="1" applyFill="1" applyBorder="1">
      <alignment vertical="center"/>
    </xf>
    <xf numFmtId="0" fontId="20" fillId="0" borderId="10" xfId="0" applyFont="1" applyBorder="1">
      <alignment vertical="center"/>
    </xf>
    <xf numFmtId="3" fontId="20" fillId="0" borderId="10" xfId="0" applyNumberFormat="1" applyFont="1" applyBorder="1">
      <alignment vertical="center"/>
    </xf>
    <xf numFmtId="41" fontId="21" fillId="33" borderId="10" xfId="42" applyFont="1" applyFill="1" applyBorder="1">
      <alignment vertical="center"/>
    </xf>
    <xf numFmtId="41" fontId="20" fillId="0" borderId="10" xfId="42" applyFont="1" applyBorder="1">
      <alignment vertical="center"/>
    </xf>
    <xf numFmtId="41" fontId="22" fillId="35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30"/>
  <sheetViews>
    <sheetView tabSelected="1" workbookViewId="0">
      <selection activeCell="I15" sqref="I15"/>
    </sheetView>
  </sheetViews>
  <sheetFormatPr defaultRowHeight="16.899999999999999"/>
  <cols>
    <col min="2" max="2" width="12.875" bestFit="1" customWidth="1"/>
    <col min="3" max="4" width="10.375" bestFit="1" customWidth="1"/>
    <col min="5" max="5" width="12.8125" customWidth="1"/>
    <col min="6" max="6" width="9.5" bestFit="1" customWidth="1"/>
  </cols>
  <sheetData>
    <row r="1" spans="1:6">
      <c r="A1" t="s">
        <v>0</v>
      </c>
      <c r="B1" t="s">
        <v>25</v>
      </c>
      <c r="C1" t="s">
        <v>1</v>
      </c>
      <c r="D1" t="s">
        <v>2</v>
      </c>
      <c r="E1" t="s">
        <v>26</v>
      </c>
      <c r="F1" t="s">
        <v>27</v>
      </c>
    </row>
    <row r="2" spans="1:6">
      <c r="A2" s="10" t="s">
        <v>34</v>
      </c>
      <c r="B2" s="11">
        <v>5846278608</v>
      </c>
      <c r="C2" s="14">
        <v>1271761.8</v>
      </c>
      <c r="D2" s="14">
        <v>1093570</v>
      </c>
      <c r="E2" s="13">
        <f>(D2*3+D3)</f>
        <v>4292465.7</v>
      </c>
      <c r="F2" s="12">
        <f>E2*100000000/B2*8</f>
        <v>587377.5080272397</v>
      </c>
    </row>
    <row r="3" spans="1:6">
      <c r="A3" s="10" t="s">
        <v>33</v>
      </c>
      <c r="B3" s="11">
        <v>5846278608</v>
      </c>
      <c r="C3" s="14">
        <v>1171718.8999999999</v>
      </c>
      <c r="D3" s="14">
        <v>1011755.7</v>
      </c>
      <c r="E3" s="13">
        <f>(D3*2+D4+D2)</f>
        <v>4014917.5999999996</v>
      </c>
      <c r="F3" s="12">
        <f t="shared" ref="F3:F28" si="0">E3*100000000/B3*8</f>
        <v>549398.05222501967</v>
      </c>
    </row>
    <row r="4" spans="1:6">
      <c r="A4" s="10" t="s">
        <v>32</v>
      </c>
      <c r="B4" s="11">
        <v>5846278608</v>
      </c>
      <c r="C4" s="14">
        <v>1069435.3</v>
      </c>
      <c r="D4" s="14">
        <v>897836.2</v>
      </c>
      <c r="E4" s="13">
        <f t="shared" ref="E4:E28" si="1">(D4*2+D5+D3)</f>
        <v>3520112.0999999996</v>
      </c>
      <c r="F4" s="12">
        <f t="shared" si="0"/>
        <v>481689.27087164222</v>
      </c>
    </row>
    <row r="5" spans="1:6">
      <c r="A5" s="7" t="s">
        <v>31</v>
      </c>
      <c r="B5" s="8">
        <v>5846278608</v>
      </c>
      <c r="C5" s="9">
        <v>849787.4</v>
      </c>
      <c r="D5" s="9">
        <v>712684</v>
      </c>
      <c r="E5" s="13">
        <f t="shared" si="1"/>
        <v>2794216.0999999996</v>
      </c>
      <c r="F5" s="9">
        <f t="shared" si="0"/>
        <v>382358.25383708772</v>
      </c>
    </row>
    <row r="6" spans="1:6">
      <c r="A6" s="7" t="s">
        <v>30</v>
      </c>
      <c r="B6" s="8">
        <v>5919637922</v>
      </c>
      <c r="C6" s="9">
        <v>572328</v>
      </c>
      <c r="D6" s="9">
        <v>471011.9</v>
      </c>
      <c r="E6" s="13">
        <f t="shared" si="1"/>
        <v>1847628.3</v>
      </c>
      <c r="F6" s="9">
        <f t="shared" si="0"/>
        <v>249694.77178776677</v>
      </c>
    </row>
    <row r="7" spans="1:6">
      <c r="A7" s="4" t="s">
        <v>28</v>
      </c>
      <c r="B7" s="5">
        <v>5969782550</v>
      </c>
      <c r="C7" s="6">
        <v>200736.6</v>
      </c>
      <c r="D7" s="6">
        <v>192920.5</v>
      </c>
      <c r="E7" s="13">
        <f t="shared" si="1"/>
        <v>976917.5</v>
      </c>
      <c r="F7" s="6">
        <f t="shared" si="0"/>
        <v>130914.98617483144</v>
      </c>
    </row>
    <row r="8" spans="1:6">
      <c r="A8" s="4" t="s">
        <v>29</v>
      </c>
      <c r="B8" s="5">
        <v>5969782550</v>
      </c>
      <c r="C8" s="6">
        <v>121660.6</v>
      </c>
      <c r="D8" s="6">
        <v>120064.6</v>
      </c>
      <c r="E8" s="13">
        <f t="shared" si="1"/>
        <v>482390</v>
      </c>
      <c r="F8" s="6">
        <f t="shared" si="0"/>
        <v>64644.230634497733</v>
      </c>
    </row>
    <row r="9" spans="1:6">
      <c r="A9" t="s">
        <v>24</v>
      </c>
      <c r="B9" s="1">
        <v>5969782550</v>
      </c>
      <c r="C9" s="3">
        <v>46760.6</v>
      </c>
      <c r="D9" s="3">
        <v>49340.3</v>
      </c>
      <c r="E9" s="13">
        <f t="shared" si="1"/>
        <v>299029.30000000005</v>
      </c>
      <c r="F9" s="3">
        <f t="shared" si="0"/>
        <v>40072.38756125213</v>
      </c>
    </row>
    <row r="10" spans="1:6">
      <c r="A10" t="s">
        <v>3</v>
      </c>
      <c r="B10" s="1">
        <v>5969782550</v>
      </c>
      <c r="C10" s="3">
        <v>66852.7</v>
      </c>
      <c r="D10" s="3">
        <v>80284.100000000006</v>
      </c>
      <c r="E10" s="13">
        <f t="shared" si="1"/>
        <v>285669.8</v>
      </c>
      <c r="F10" s="3">
        <f t="shared" si="0"/>
        <v>38282.104596925397</v>
      </c>
    </row>
    <row r="11" spans="1:6">
      <c r="A11" t="s">
        <v>4</v>
      </c>
      <c r="B11" s="1">
        <v>5969782550</v>
      </c>
      <c r="C11" s="3">
        <v>64927</v>
      </c>
      <c r="D11" s="3">
        <v>75761.3</v>
      </c>
      <c r="E11" s="13">
        <f t="shared" si="1"/>
        <v>329622.2</v>
      </c>
      <c r="F11" s="3">
        <f t="shared" si="0"/>
        <v>44172.087976638279</v>
      </c>
    </row>
    <row r="12" spans="1:6">
      <c r="A12" t="s">
        <v>5</v>
      </c>
      <c r="B12" s="1">
        <v>5969782550</v>
      </c>
      <c r="C12" s="3">
        <v>91833.7</v>
      </c>
      <c r="D12" s="3">
        <v>97815.5</v>
      </c>
      <c r="E12" s="13">
        <f t="shared" si="1"/>
        <v>369805.3</v>
      </c>
      <c r="F12" s="3">
        <f t="shared" si="0"/>
        <v>49556.954130598948</v>
      </c>
    </row>
    <row r="13" spans="1:6">
      <c r="A13" t="s">
        <v>6</v>
      </c>
      <c r="B13" s="1">
        <v>5969782550</v>
      </c>
      <c r="C13" s="3">
        <v>104439</v>
      </c>
      <c r="D13" s="3">
        <v>98413</v>
      </c>
      <c r="E13" s="13">
        <f t="shared" si="1"/>
        <v>362188.5</v>
      </c>
      <c r="F13" s="3">
        <f t="shared" si="0"/>
        <v>48536.240235416954</v>
      </c>
    </row>
    <row r="14" spans="1:6">
      <c r="A14" t="s">
        <v>7</v>
      </c>
      <c r="B14" s="1">
        <v>5969782550</v>
      </c>
      <c r="C14" s="3">
        <v>66060</v>
      </c>
      <c r="D14" s="3">
        <v>67547</v>
      </c>
      <c r="E14" s="13">
        <f t="shared" si="1"/>
        <v>296955</v>
      </c>
      <c r="F14" s="3">
        <f t="shared" si="0"/>
        <v>39794.414287334468</v>
      </c>
    </row>
    <row r="15" spans="1:6">
      <c r="A15" t="s">
        <v>8</v>
      </c>
      <c r="B15" s="1">
        <v>5969782550</v>
      </c>
      <c r="C15" s="3">
        <v>28247</v>
      </c>
      <c r="D15" s="3">
        <v>63448</v>
      </c>
      <c r="E15" s="13">
        <f t="shared" si="1"/>
        <v>252885</v>
      </c>
      <c r="F15" s="3">
        <f t="shared" si="0"/>
        <v>33888.671539635892</v>
      </c>
    </row>
    <row r="16" spans="1:6">
      <c r="A16" t="s">
        <v>9</v>
      </c>
      <c r="B16" s="1">
        <v>5969782550</v>
      </c>
      <c r="C16" s="3">
        <v>24335</v>
      </c>
      <c r="D16" s="3">
        <v>58442</v>
      </c>
      <c r="E16" s="13">
        <f t="shared" si="1"/>
        <v>197568</v>
      </c>
      <c r="F16" s="3">
        <f t="shared" si="0"/>
        <v>26475.738215958972</v>
      </c>
    </row>
    <row r="17" spans="1:6">
      <c r="A17" t="s">
        <v>10</v>
      </c>
      <c r="B17" s="1">
        <v>5969782550</v>
      </c>
      <c r="C17" s="3">
        <v>6685</v>
      </c>
      <c r="D17" s="3">
        <v>17236</v>
      </c>
      <c r="E17" s="13">
        <f t="shared" si="1"/>
        <v>108660</v>
      </c>
      <c r="F17" s="3">
        <f t="shared" si="0"/>
        <v>14561.334399022624</v>
      </c>
    </row>
    <row r="18" spans="1:6">
      <c r="A18" t="s">
        <v>11</v>
      </c>
      <c r="B18" s="1">
        <v>5969782550</v>
      </c>
      <c r="C18" s="3">
        <v>6402</v>
      </c>
      <c r="D18" s="3">
        <v>15746</v>
      </c>
      <c r="E18" s="13">
        <f t="shared" si="1"/>
        <v>287142</v>
      </c>
      <c r="F18" s="3">
        <f t="shared" si="0"/>
        <v>38479.391514855095</v>
      </c>
    </row>
    <row r="19" spans="1:6">
      <c r="A19" t="s">
        <v>12</v>
      </c>
      <c r="B19" s="1">
        <v>5969782550</v>
      </c>
      <c r="C19" s="3">
        <v>43061</v>
      </c>
      <c r="D19" s="3">
        <v>238414</v>
      </c>
      <c r="E19" s="13">
        <f t="shared" si="1"/>
        <v>586466</v>
      </c>
      <c r="F19" s="3">
        <f t="shared" si="0"/>
        <v>78591.271301833258</v>
      </c>
    </row>
    <row r="20" spans="1:6">
      <c r="A20" t="s">
        <v>13</v>
      </c>
      <c r="B20" s="1">
        <v>5969782550</v>
      </c>
      <c r="C20" s="3">
        <v>108520</v>
      </c>
      <c r="D20" s="3">
        <v>93892</v>
      </c>
      <c r="E20" s="13">
        <f t="shared" si="1"/>
        <v>537186</v>
      </c>
      <c r="F20" s="3">
        <f t="shared" si="0"/>
        <v>71987.345669734656</v>
      </c>
    </row>
    <row r="21" spans="1:6">
      <c r="A21" t="s">
        <v>14</v>
      </c>
      <c r="B21" s="1">
        <v>5969782550</v>
      </c>
      <c r="C21" s="3">
        <v>140970</v>
      </c>
      <c r="D21" s="3">
        <v>110988</v>
      </c>
      <c r="E21" s="13">
        <f t="shared" si="1"/>
        <v>429114</v>
      </c>
      <c r="F21" s="3">
        <f t="shared" si="0"/>
        <v>57504.808110640479</v>
      </c>
    </row>
    <row r="22" spans="1:6">
      <c r="A22" t="s">
        <v>15</v>
      </c>
      <c r="B22" s="1">
        <v>5969782550</v>
      </c>
      <c r="C22" s="3">
        <v>141214</v>
      </c>
      <c r="D22" s="3">
        <v>113246</v>
      </c>
      <c r="E22" s="13">
        <f t="shared" si="1"/>
        <v>445859</v>
      </c>
      <c r="F22" s="3">
        <f t="shared" si="0"/>
        <v>59748.775941596061</v>
      </c>
    </row>
    <row r="23" spans="1:6">
      <c r="A23" t="s">
        <v>16</v>
      </c>
      <c r="B23" s="1">
        <v>5969782550</v>
      </c>
      <c r="C23" s="3">
        <v>138667</v>
      </c>
      <c r="D23" s="3">
        <v>108379</v>
      </c>
      <c r="E23" s="13">
        <f t="shared" si="1"/>
        <v>452937</v>
      </c>
      <c r="F23" s="3">
        <f t="shared" si="0"/>
        <v>60697.286201823212</v>
      </c>
    </row>
    <row r="24" spans="1:6">
      <c r="A24" t="s">
        <v>17</v>
      </c>
      <c r="B24" s="1">
        <v>5969782550</v>
      </c>
      <c r="C24" s="3">
        <v>158175</v>
      </c>
      <c r="D24" s="3">
        <v>122933</v>
      </c>
      <c r="E24" s="13">
        <f t="shared" si="1"/>
        <v>450590</v>
      </c>
      <c r="F24" s="3">
        <f t="shared" si="0"/>
        <v>60382.768883265271</v>
      </c>
    </row>
    <row r="25" spans="1:6">
      <c r="A25" t="s">
        <v>18</v>
      </c>
      <c r="B25" s="1">
        <v>5969782550</v>
      </c>
      <c r="C25" s="3">
        <v>125667</v>
      </c>
      <c r="D25" s="3">
        <v>96345</v>
      </c>
      <c r="E25" s="13">
        <f t="shared" si="1"/>
        <v>387040</v>
      </c>
      <c r="F25" s="3">
        <f t="shared" si="0"/>
        <v>51866.545792358884</v>
      </c>
    </row>
    <row r="26" spans="1:6">
      <c r="A26" t="s">
        <v>19</v>
      </c>
      <c r="B26" s="1">
        <v>5969782550</v>
      </c>
      <c r="C26" s="3">
        <v>93829</v>
      </c>
      <c r="D26" s="3">
        <v>71417</v>
      </c>
      <c r="E26" s="13">
        <f t="shared" si="1"/>
        <v>305250</v>
      </c>
      <c r="F26" s="3">
        <f t="shared" si="0"/>
        <v>40906.012564896519</v>
      </c>
    </row>
    <row r="27" spans="1:6">
      <c r="A27" t="s">
        <v>20</v>
      </c>
      <c r="B27" s="1">
        <v>5969782550</v>
      </c>
      <c r="C27" s="3">
        <v>90470</v>
      </c>
      <c r="D27" s="3">
        <v>66071</v>
      </c>
      <c r="E27" s="13">
        <f t="shared" si="1"/>
        <v>297166</v>
      </c>
      <c r="F27" s="3">
        <f t="shared" si="0"/>
        <v>39822.690024111515</v>
      </c>
    </row>
    <row r="28" spans="1:6">
      <c r="A28" t="s">
        <v>21</v>
      </c>
      <c r="B28" s="1">
        <v>5969782550</v>
      </c>
      <c r="C28" s="3">
        <v>123532</v>
      </c>
      <c r="D28" s="3">
        <v>93607</v>
      </c>
      <c r="E28" s="13">
        <f t="shared" si="1"/>
        <v>308836</v>
      </c>
      <c r="F28" s="3">
        <f t="shared" si="0"/>
        <v>41386.566081875128</v>
      </c>
    </row>
    <row r="29" spans="1:6">
      <c r="A29" t="s">
        <v>22</v>
      </c>
      <c r="B29" s="1">
        <v>5969782550</v>
      </c>
      <c r="C29" s="3">
        <v>81463</v>
      </c>
      <c r="D29" s="3">
        <v>55551</v>
      </c>
      <c r="F29" s="2"/>
    </row>
    <row r="30" spans="1:6">
      <c r="A30" t="s">
        <v>23</v>
      </c>
      <c r="B30" s="1">
        <v>5969782550</v>
      </c>
      <c r="C30" s="3">
        <v>64473</v>
      </c>
      <c r="D30" s="3">
        <v>48849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삼성전자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2026-10-06T09:36:44Z</dcterms:modified>
</cp:coreProperties>
</file>