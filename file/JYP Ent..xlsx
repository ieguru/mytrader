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77650287-EB77-4C17-B9CD-D8F22BC656C3}" xr6:coauthVersionLast="47" xr6:coauthVersionMax="47" xr10:uidLastSave="{00000000-0000-0000-0000-000000000000}"/>
  <bookViews>
    <workbookView xWindow="19930" yWindow="3300" windowWidth="28450" windowHeight="18910" xr2:uid="{574589F6-5CF4-430A-9C77-3C46C2002903}"/>
  </bookViews>
  <sheets>
    <sheet name="JYP Ent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F11" i="1" s="1"/>
  <c r="E12" i="1"/>
  <c r="E13" i="1"/>
  <c r="F13" i="1" s="1"/>
  <c r="E14" i="1"/>
  <c r="F14" i="1" s="1"/>
  <c r="E15" i="1"/>
  <c r="F15" i="1" s="1"/>
  <c r="E16" i="1"/>
  <c r="F16" i="1" s="1"/>
  <c r="E17" i="1"/>
  <c r="E18" i="1"/>
  <c r="E19" i="1"/>
  <c r="E20" i="1"/>
  <c r="E21" i="1"/>
  <c r="E22" i="1"/>
  <c r="E23" i="1"/>
  <c r="E4" i="1"/>
  <c r="F4" i="1" s="1"/>
  <c r="F3" i="1"/>
  <c r="F5" i="1"/>
  <c r="F6" i="1"/>
  <c r="F7" i="1"/>
  <c r="F8" i="1"/>
  <c r="F9" i="1"/>
  <c r="F10" i="1"/>
  <c r="F12" i="1"/>
  <c r="F17" i="1"/>
  <c r="F18" i="1"/>
  <c r="F19" i="1"/>
  <c r="F20" i="1"/>
  <c r="F21" i="1"/>
  <c r="F22" i="1"/>
  <c r="F2" i="1"/>
  <c r="E3" i="1"/>
  <c r="E2" i="1"/>
</calcChain>
</file>

<file path=xl/sharedStrings.xml><?xml version="1.0" encoding="utf-8"?>
<sst xmlns="http://schemas.openxmlformats.org/spreadsheetml/2006/main" count="30" uniqueCount="30">
  <si>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</si>
  <si>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</si>
  <si>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</si>
  <si>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</si>
  <si>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</si>
  <si>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</si>
  <si>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</si>
  <si>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</si>
  <si>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</si>
  <si>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</si>
  <si>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</si>
  <si>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</si>
  <si>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</si>
  <si>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</si>
  <si>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</si>
  <si>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</si>
  <si>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</si>
  <si>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</si>
  <si>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</si>
  <si>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</si>
  <si>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</si>
  <si>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2025.2Q</t>
    <phoneticPr fontId="18" type="noConversion"/>
  </si>
  <si>
    <t>4Q_income</t>
  </si>
  <si>
    <t>목표가</t>
  </si>
  <si>
    <t>상장주식수</t>
  </si>
  <si>
    <t>2020.3Q</t>
    <phoneticPr fontId="18" type="noConversion"/>
  </si>
  <si>
    <t>2020.2Q</t>
    <phoneticPr fontId="18" type="noConversion"/>
  </si>
  <si>
    <t>2020.1Q</t>
    <phoneticPr fontId="18" type="noConversion"/>
  </si>
  <si>
    <t>2025.3Q</t>
    <phoneticPr fontId="18" type="noConversion"/>
  </si>
  <si>
    <t>2025.4Q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</si>
</sst>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14" fillId="0" borderId="0" xfId="0" applyFont="1">
      <alignment vertical="center"/>
    </xf>
    <xf numFmtId="41" fontId="0" fillId="0" borderId="0" xfId="42" applyFont="1">
      <alignment vertical="center"/>
    </xf>
    <xf numFmtId="0" fontId="14" fillId="33" borderId="0" xfId="0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5"/>
  <sheetViews>
    <sheetView tabSelected="1" workbookViewId="0">
      <selection activeCell="F2" sqref="F2:F22"/>
    </sheetView>
  </sheetViews>
  <sheetFormatPr defaultRowHeight="17" x14ac:dyDescent="0.45"/>
  <cols>
    <col min="2" max="2" width="10.25" bestFit="1" customWidth="1"/>
    <col min="5" max="5" width="12.83203125" customWidth="1"/>
    <col min="6" max="6" width="9.08203125" bestFit="1" customWidth="1"/>
  </cols>
  <sheetData>
    <row r="1" spans="1:6" x14ac:dyDescent="0.45">
      <c r="A1" t="s">
        <v>0</v>
      </c>
      <c r="B1" t="s">
        <v>24</v>
      </c>
      <c r="C1" t="s">
        <v>1</v>
      </c>
      <c r="D1" t="s">
        <v>2</v>
      </c>
      <c r="E1" t="s">
        <v>22</v>
      </c>
      <c r="F1" t="s">
        <v>23</v>
      </c>
    </row>
    <row r="2" spans="1:6" x14ac:dyDescent="0.45">
      <c r="A2" t="s">
        <v>29</v>
      </c>
      <c r="B2" s="1">
        <v>35532492</v>
      </c>
      <c r="C2" s="5">
        <v>390</v>
      </c>
      <c r="D2" s="5">
        <v>283</v>
      </c>
      <c r="E2">
        <f>(C2*2+C3*2)</f>
        <v>1778</v>
      </c>
      <c r="F2" s="4">
        <f>E2*100000000/B2*18</f>
        <v>90069.674820443208</v>
      </c>
    </row>
    <row r="3" spans="1:6" x14ac:dyDescent="0.45">
      <c r="A3" t="s">
        <v>28</v>
      </c>
      <c r="B3" s="1">
        <v>35532492</v>
      </c>
      <c r="C3" s="5">
        <v>499</v>
      </c>
      <c r="D3" s="5">
        <v>394</v>
      </c>
      <c r="E3">
        <f>(C2*2+C3*2)</f>
        <v>1778</v>
      </c>
      <c r="F3" s="4">
        <f t="shared" ref="F3:F22" si="0">E3*100000000/B3*18</f>
        <v>90069.674820443208</v>
      </c>
    </row>
    <row r="4" spans="1:6" x14ac:dyDescent="0.45">
      <c r="A4" t="s">
        <v>21</v>
      </c>
      <c r="B4" s="1">
        <v>35532492</v>
      </c>
      <c r="C4" s="3">
        <v>420</v>
      </c>
      <c r="D4" s="3">
        <v>306</v>
      </c>
      <c r="E4">
        <f>(C2+C3*2+C4)</f>
        <v>1808</v>
      </c>
      <c r="F4" s="4">
        <f t="shared" si="0"/>
        <v>91589.410616063746</v>
      </c>
    </row>
    <row r="5" spans="1:6" x14ac:dyDescent="0.45">
      <c r="A5" t="s">
        <v>3</v>
      </c>
      <c r="B5" s="1">
        <v>35532492</v>
      </c>
      <c r="C5" s="3">
        <v>196</v>
      </c>
      <c r="D5" s="3">
        <v>693</v>
      </c>
      <c r="E5">
        <f t="shared" ref="E5:E23" si="1">(C3+C4*2+C5)</f>
        <v>1535</v>
      </c>
      <c r="F5" s="4">
        <f t="shared" si="0"/>
        <v>77759.814875916942</v>
      </c>
    </row>
    <row r="6" spans="1:6" x14ac:dyDescent="0.45">
      <c r="A6" t="s">
        <v>4</v>
      </c>
      <c r="B6" s="1">
        <v>35532492</v>
      </c>
      <c r="C6" s="1">
        <v>389</v>
      </c>
      <c r="D6" s="1">
        <v>254</v>
      </c>
      <c r="E6">
        <f t="shared" si="1"/>
        <v>1201</v>
      </c>
      <c r="F6" s="4">
        <f t="shared" si="0"/>
        <v>60840.089684675091</v>
      </c>
    </row>
    <row r="7" spans="1:6" x14ac:dyDescent="0.45">
      <c r="A7" t="s">
        <v>5</v>
      </c>
      <c r="B7" s="1">
        <v>35532492</v>
      </c>
      <c r="C7" s="1">
        <v>484</v>
      </c>
      <c r="D7" s="1">
        <v>388</v>
      </c>
      <c r="E7">
        <f t="shared" si="1"/>
        <v>1458</v>
      </c>
      <c r="F7" s="4">
        <f t="shared" si="0"/>
        <v>73859.159667157597</v>
      </c>
    </row>
    <row r="8" spans="1:6" x14ac:dyDescent="0.45">
      <c r="A8" t="s">
        <v>6</v>
      </c>
      <c r="B8" s="1">
        <v>35532492</v>
      </c>
      <c r="C8" s="1">
        <v>93</v>
      </c>
      <c r="D8" s="1">
        <v>13</v>
      </c>
      <c r="E8">
        <f t="shared" si="1"/>
        <v>1450</v>
      </c>
      <c r="F8" s="4">
        <f t="shared" si="0"/>
        <v>73453.896788325452</v>
      </c>
    </row>
    <row r="9" spans="1:6" x14ac:dyDescent="0.45">
      <c r="A9" t="s">
        <v>7</v>
      </c>
      <c r="B9" s="1">
        <v>35532492</v>
      </c>
      <c r="C9" s="1">
        <v>336</v>
      </c>
      <c r="D9" s="1">
        <v>315</v>
      </c>
      <c r="E9">
        <f t="shared" si="1"/>
        <v>1006</v>
      </c>
      <c r="F9" s="4">
        <f t="shared" si="0"/>
        <v>50961.807013141661</v>
      </c>
    </row>
    <row r="10" spans="1:6" x14ac:dyDescent="0.45">
      <c r="A10" t="s">
        <v>8</v>
      </c>
      <c r="B10" s="1">
        <v>35532492</v>
      </c>
      <c r="C10" s="1">
        <v>379</v>
      </c>
      <c r="D10" s="1">
        <v>22</v>
      </c>
      <c r="E10">
        <f t="shared" si="1"/>
        <v>1144</v>
      </c>
      <c r="F10" s="4">
        <f t="shared" si="0"/>
        <v>57952.591672996088</v>
      </c>
    </row>
    <row r="11" spans="1:6" x14ac:dyDescent="0.45">
      <c r="A11" t="s">
        <v>9</v>
      </c>
      <c r="B11" s="1">
        <v>35532492</v>
      </c>
      <c r="C11" s="1">
        <v>438</v>
      </c>
      <c r="D11">
        <v>347</v>
      </c>
      <c r="E11">
        <f t="shared" si="1"/>
        <v>1532</v>
      </c>
      <c r="F11" s="4">
        <f t="shared" si="0"/>
        <v>77607.841296354891</v>
      </c>
    </row>
    <row r="12" spans="1:6" x14ac:dyDescent="0.45">
      <c r="A12" t="s">
        <v>10</v>
      </c>
      <c r="B12" s="1">
        <v>35532492</v>
      </c>
      <c r="C12">
        <v>457</v>
      </c>
      <c r="D12" s="1">
        <v>254</v>
      </c>
      <c r="E12">
        <f t="shared" si="1"/>
        <v>1712</v>
      </c>
      <c r="F12" s="4">
        <f t="shared" si="0"/>
        <v>86726.25607007806</v>
      </c>
    </row>
    <row r="13" spans="1:6" x14ac:dyDescent="0.45">
      <c r="A13" t="s">
        <v>11</v>
      </c>
      <c r="B13" s="1">
        <v>35532492</v>
      </c>
      <c r="C13">
        <v>420</v>
      </c>
      <c r="D13">
        <v>427</v>
      </c>
      <c r="E13">
        <f t="shared" si="1"/>
        <v>1772</v>
      </c>
      <c r="F13" s="4">
        <f t="shared" si="0"/>
        <v>89765.727661319106</v>
      </c>
    </row>
    <row r="14" spans="1:6" x14ac:dyDescent="0.45">
      <c r="A14" t="s">
        <v>12</v>
      </c>
      <c r="B14" s="1">
        <v>35532492</v>
      </c>
      <c r="C14">
        <v>257</v>
      </c>
      <c r="D14" s="1">
        <v>130</v>
      </c>
      <c r="E14">
        <f t="shared" si="1"/>
        <v>1554</v>
      </c>
      <c r="F14" s="4">
        <f t="shared" si="0"/>
        <v>78722.314213143283</v>
      </c>
    </row>
    <row r="15" spans="1:6" x14ac:dyDescent="0.45">
      <c r="A15" t="s">
        <v>13</v>
      </c>
      <c r="B15" s="1">
        <v>35532492</v>
      </c>
      <c r="C15" s="1">
        <v>275</v>
      </c>
      <c r="D15" s="1">
        <v>225</v>
      </c>
      <c r="E15">
        <f t="shared" si="1"/>
        <v>1209</v>
      </c>
      <c r="F15" s="4">
        <f t="shared" si="0"/>
        <v>61245.352563507222</v>
      </c>
    </row>
    <row r="16" spans="1:6" x14ac:dyDescent="0.45">
      <c r="A16" t="s">
        <v>14</v>
      </c>
      <c r="B16" s="1">
        <v>35532492</v>
      </c>
      <c r="C16" s="1">
        <v>243</v>
      </c>
      <c r="D16" s="1">
        <v>152</v>
      </c>
      <c r="E16">
        <f t="shared" si="1"/>
        <v>1050</v>
      </c>
      <c r="F16" s="4">
        <f t="shared" si="0"/>
        <v>53190.752846718431</v>
      </c>
    </row>
    <row r="17" spans="1:6" x14ac:dyDescent="0.45">
      <c r="A17" t="s">
        <v>15</v>
      </c>
      <c r="B17" s="1">
        <v>35532492</v>
      </c>
      <c r="C17" s="1">
        <v>192</v>
      </c>
      <c r="D17" s="1">
        <v>167</v>
      </c>
      <c r="E17">
        <f t="shared" si="1"/>
        <v>953</v>
      </c>
      <c r="F17" s="4">
        <f t="shared" si="0"/>
        <v>48276.94044087873</v>
      </c>
    </row>
    <row r="18" spans="1:6" x14ac:dyDescent="0.45">
      <c r="A18" t="s">
        <v>16</v>
      </c>
      <c r="B18" s="1">
        <v>35532492</v>
      </c>
      <c r="C18" s="1">
        <v>163</v>
      </c>
      <c r="D18" s="1">
        <v>340</v>
      </c>
      <c r="E18">
        <f t="shared" si="1"/>
        <v>790</v>
      </c>
      <c r="F18" s="4">
        <f t="shared" si="0"/>
        <v>40019.709284673867</v>
      </c>
    </row>
    <row r="19" spans="1:6" x14ac:dyDescent="0.45">
      <c r="A19" t="s">
        <v>17</v>
      </c>
      <c r="B19" s="1">
        <v>35532492</v>
      </c>
      <c r="C19" s="1">
        <v>182</v>
      </c>
      <c r="D19" s="1">
        <v>166</v>
      </c>
      <c r="E19">
        <f t="shared" si="1"/>
        <v>700</v>
      </c>
      <c r="F19" s="4">
        <f t="shared" si="0"/>
        <v>35460.50189781229</v>
      </c>
    </row>
    <row r="20" spans="1:6" x14ac:dyDescent="0.45">
      <c r="A20" t="s">
        <v>18</v>
      </c>
      <c r="B20" s="1">
        <v>35532492</v>
      </c>
      <c r="C20" s="1">
        <v>96</v>
      </c>
      <c r="D20" s="1">
        <v>48</v>
      </c>
      <c r="E20">
        <f t="shared" si="1"/>
        <v>623</v>
      </c>
      <c r="F20" s="4">
        <f t="shared" si="0"/>
        <v>31559.846689052938</v>
      </c>
    </row>
    <row r="21" spans="1:6" x14ac:dyDescent="0.45">
      <c r="A21" t="s">
        <v>19</v>
      </c>
      <c r="B21" s="1">
        <v>35532492</v>
      </c>
      <c r="C21" s="1">
        <v>138</v>
      </c>
      <c r="D21" s="1">
        <v>120</v>
      </c>
      <c r="E21">
        <f t="shared" si="1"/>
        <v>512</v>
      </c>
      <c r="F21" s="4">
        <f t="shared" si="0"/>
        <v>25936.82424525699</v>
      </c>
    </row>
    <row r="22" spans="1:6" x14ac:dyDescent="0.45">
      <c r="A22" t="s">
        <v>20</v>
      </c>
      <c r="B22" s="1">
        <v>35532492</v>
      </c>
      <c r="C22">
        <v>105</v>
      </c>
      <c r="D22">
        <v>59</v>
      </c>
      <c r="E22">
        <f t="shared" si="1"/>
        <v>477</v>
      </c>
      <c r="F22" s="4">
        <f t="shared" si="0"/>
        <v>24163.799150366372</v>
      </c>
    </row>
    <row r="23" spans="1:6" x14ac:dyDescent="0.45">
      <c r="A23" t="s">
        <v>25</v>
      </c>
      <c r="B23" s="1">
        <v>35532492</v>
      </c>
      <c r="C23" s="1">
        <v>111</v>
      </c>
      <c r="D23" s="1">
        <v>77</v>
      </c>
      <c r="E23">
        <f t="shared" si="1"/>
        <v>459</v>
      </c>
      <c r="F23" s="2"/>
    </row>
    <row r="24" spans="1:6" x14ac:dyDescent="0.45">
      <c r="A24" t="s">
        <v>26</v>
      </c>
      <c r="B24" s="1">
        <v>35532492</v>
      </c>
      <c r="C24">
        <v>91</v>
      </c>
      <c r="D24">
        <v>47</v>
      </c>
      <c r="F24" s="2"/>
    </row>
    <row r="25" spans="1:6" x14ac:dyDescent="0.45">
      <c r="A25" t="s">
        <v>27</v>
      </c>
      <c r="B25" s="1">
        <v>35532492</v>
      </c>
      <c r="C25">
        <v>134</v>
      </c>
      <c r="D25">
        <v>113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JYP Ent.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2025-08-21T22:50:34Z</dcterms:modified>
</cp:coreProperties>
</file>