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8FA32B2B-F4D9-487D-B9F1-5A7BE49EBBA1}" xr6:coauthVersionLast="47" xr6:coauthVersionMax="47" xr10:uidLastSave="{00000000-0000-0000-0000-000000000000}"/>
  <bookViews>
    <workbookView xWindow="5850" yWindow="7410" windowWidth="27190" windowHeight="18890" xr2:uid="{7680B2FC-4065-486E-8831-FAA66954CDC3}"/>
  </bookViews>
  <sheets>
    <sheet name="프로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F12" i="1" s="1"/>
  <c r="E13" i="1"/>
  <c r="E14" i="1"/>
  <c r="E15" i="1"/>
  <c r="F15" i="1" s="1"/>
  <c r="E16" i="1"/>
  <c r="E17" i="1"/>
  <c r="E18" i="1"/>
  <c r="E19" i="1"/>
  <c r="E20" i="1"/>
  <c r="E21" i="1"/>
  <c r="E22" i="1"/>
  <c r="E23" i="1"/>
  <c r="E24" i="1"/>
  <c r="E25" i="1"/>
  <c r="E3" i="1"/>
  <c r="F3" i="1"/>
  <c r="F4" i="1"/>
  <c r="F5" i="1"/>
  <c r="F6" i="1"/>
  <c r="F7" i="1"/>
  <c r="F8" i="1"/>
  <c r="F9" i="1"/>
  <c r="F10" i="1"/>
  <c r="F11" i="1"/>
  <c r="F13" i="1"/>
  <c r="F14" i="1"/>
  <c r="F16" i="1"/>
  <c r="F17" i="1"/>
  <c r="F18" i="1"/>
  <c r="F19" i="1"/>
  <c r="F20" i="1"/>
  <c r="F21" i="1"/>
  <c r="F22" i="1"/>
  <c r="F23" i="1"/>
  <c r="F24" i="1"/>
  <c r="E2" i="1"/>
  <c r="F2" i="1" s="1"/>
</calcChain>
</file>

<file path=xl/sharedStrings.xml><?xml version="1.0" encoding="utf-8"?>
<sst xmlns="http://schemas.openxmlformats.org/spreadsheetml/2006/main" count="30" uniqueCount="30">
  <si>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</si>
  <si>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</si>
  <si>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</si>
  <si>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</si>
  <si>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</si>
  <si>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</si>
  <si>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</si>
  <si>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</si>
  <si>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</si>
  <si>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</si>
  <si>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</si>
  <si>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</si>
  <si>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</si>
  <si>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</si>
  <si>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</si>
  <si>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</si>
  <si>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</si>
  <si>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</si>
  <si>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</si>
  <si>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</si>
  <si>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</si>
  <si>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</si>
  <si>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</si>
  <si>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</si>
  <si>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2025.2Q</t>
    <phoneticPr fontId="18" type="noConversion"/>
  </si>
  <si>
    <t>4Q_income</t>
  </si>
  <si>
    <t>목표가</t>
  </si>
  <si>
    <t>상장주식수</t>
    <phoneticPr fontId="18" type="noConversion"/>
  </si>
  <si>
    <t>2025.3Q</t>
    <phoneticPr fontId="18" type="noConversion"/>
  </si>
  <si>
    <t>2025.4Q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</si>
</sst>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33" borderId="0" xfId="0" applyFill="1">
      <alignment vertical="center"/>
    </xf>
    <xf numFmtId="3" fontId="0" fillId="33" borderId="0" xfId="0" applyNumberFormat="1" applyFill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A6C8-2453-422C-8994-71B43242FBB9}">
  <dimension ref="A1:F25"/>
  <sheetViews>
    <sheetView tabSelected="1" workbookViewId="0">
      <selection activeCell="F2" sqref="E2:F25"/>
    </sheetView>
  </sheetViews>
  <sheetFormatPr defaultRowHeight="17" x14ac:dyDescent="0.45"/>
  <cols>
    <col min="2" max="2" width="10.25" bestFit="1" customWidth="1"/>
  </cols>
  <sheetData>
    <row r="1" spans="1:6" x14ac:dyDescent="0.45">
      <c r="A1" t="s">
        <v>0</v>
      </c>
      <c r="B1" t="s">
        <v>27</v>
      </c>
      <c r="C1" t="s">
        <v>1</v>
      </c>
      <c r="D1" t="s">
        <v>2</v>
      </c>
      <c r="E1" t="s">
        <v>25</v>
      </c>
      <c r="F1" t="s">
        <v>26</v>
      </c>
    </row>
    <row r="2" spans="1:6" x14ac:dyDescent="0.45">
      <c r="A2" t="s">
        <v>29</v>
      </c>
      <c r="B2" s="1">
        <v>11000000</v>
      </c>
      <c r="C2" s="2">
        <v>110</v>
      </c>
      <c r="D2" s="2">
        <v>70</v>
      </c>
      <c r="E2" s="4">
        <f>(C2*2+C3*2)</f>
        <v>300</v>
      </c>
      <c r="F2" s="4">
        <f>E2*100000000/B2*15</f>
        <v>40909.090909090912</v>
      </c>
    </row>
    <row r="3" spans="1:6" x14ac:dyDescent="0.45">
      <c r="A3" t="s">
        <v>28</v>
      </c>
      <c r="B3" s="1">
        <v>11000000</v>
      </c>
      <c r="C3" s="2">
        <v>40</v>
      </c>
      <c r="D3" s="2">
        <v>60</v>
      </c>
      <c r="E3" s="4">
        <f>(C2*2+C3*2)</f>
        <v>300</v>
      </c>
      <c r="F3" s="4">
        <f t="shared" ref="F3:F24" si="0">E3*100000000/B3*15</f>
        <v>40909.090909090912</v>
      </c>
    </row>
    <row r="4" spans="1:6" x14ac:dyDescent="0.45">
      <c r="A4" t="s">
        <v>24</v>
      </c>
      <c r="B4" s="1">
        <v>11000000</v>
      </c>
      <c r="C4" s="2">
        <v>50</v>
      </c>
      <c r="D4" s="2">
        <v>30</v>
      </c>
      <c r="E4" s="4">
        <f t="shared" ref="E4:E25" si="1">(C3*2+C4*2)</f>
        <v>180</v>
      </c>
      <c r="F4" s="4">
        <f t="shared" si="0"/>
        <v>24545.454545454544</v>
      </c>
    </row>
    <row r="5" spans="1:6" x14ac:dyDescent="0.45">
      <c r="A5" t="s">
        <v>3</v>
      </c>
      <c r="B5" s="1">
        <v>11000000</v>
      </c>
      <c r="C5" s="3">
        <v>29</v>
      </c>
      <c r="D5" s="2">
        <v>24</v>
      </c>
      <c r="E5" s="4">
        <f t="shared" si="1"/>
        <v>158</v>
      </c>
      <c r="F5" s="4">
        <f t="shared" si="0"/>
        <v>21545.454545454544</v>
      </c>
    </row>
    <row r="6" spans="1:6" x14ac:dyDescent="0.45">
      <c r="A6" t="s">
        <v>4</v>
      </c>
      <c r="B6" s="1">
        <v>11000000</v>
      </c>
      <c r="C6" s="1">
        <v>24</v>
      </c>
      <c r="D6">
        <v>80</v>
      </c>
      <c r="E6" s="4">
        <f t="shared" si="1"/>
        <v>106</v>
      </c>
      <c r="F6" s="4">
        <f t="shared" si="0"/>
        <v>14454.545454545454</v>
      </c>
    </row>
    <row r="7" spans="1:6" x14ac:dyDescent="0.45">
      <c r="A7" t="s">
        <v>5</v>
      </c>
      <c r="B7" s="1">
        <v>11000000</v>
      </c>
      <c r="C7">
        <v>40</v>
      </c>
      <c r="D7">
        <v>7</v>
      </c>
      <c r="E7" s="4">
        <f t="shared" si="1"/>
        <v>128</v>
      </c>
      <c r="F7" s="4">
        <f t="shared" si="0"/>
        <v>17454.545454545456</v>
      </c>
    </row>
    <row r="8" spans="1:6" x14ac:dyDescent="0.45">
      <c r="A8" t="s">
        <v>6</v>
      </c>
      <c r="B8" s="1">
        <v>11000000</v>
      </c>
      <c r="C8">
        <v>117</v>
      </c>
      <c r="D8">
        <v>105</v>
      </c>
      <c r="E8" s="4">
        <f t="shared" si="1"/>
        <v>314</v>
      </c>
      <c r="F8" s="4">
        <f t="shared" si="0"/>
        <v>42818.181818181816</v>
      </c>
    </row>
    <row r="9" spans="1:6" x14ac:dyDescent="0.45">
      <c r="A9" t="s">
        <v>7</v>
      </c>
      <c r="B9" s="1">
        <v>11000000</v>
      </c>
      <c r="C9">
        <v>-48</v>
      </c>
      <c r="D9">
        <v>-14</v>
      </c>
      <c r="E9" s="4">
        <f t="shared" si="1"/>
        <v>138</v>
      </c>
      <c r="F9" s="4">
        <f t="shared" si="0"/>
        <v>18818.181818181816</v>
      </c>
    </row>
    <row r="10" spans="1:6" x14ac:dyDescent="0.45">
      <c r="A10" t="s">
        <v>8</v>
      </c>
      <c r="B10" s="1">
        <v>11000000</v>
      </c>
      <c r="C10">
        <v>78</v>
      </c>
      <c r="D10">
        <v>60</v>
      </c>
      <c r="E10" s="4">
        <f t="shared" si="1"/>
        <v>60</v>
      </c>
      <c r="F10" s="4">
        <f t="shared" si="0"/>
        <v>8181.818181818182</v>
      </c>
    </row>
    <row r="11" spans="1:6" x14ac:dyDescent="0.45">
      <c r="A11" t="s">
        <v>9</v>
      </c>
      <c r="B11" s="1">
        <v>11000000</v>
      </c>
      <c r="C11">
        <v>27</v>
      </c>
      <c r="D11">
        <v>35</v>
      </c>
      <c r="E11" s="4">
        <f t="shared" si="1"/>
        <v>210</v>
      </c>
      <c r="F11" s="4">
        <f t="shared" si="0"/>
        <v>28636.363636363636</v>
      </c>
    </row>
    <row r="12" spans="1:6" x14ac:dyDescent="0.45">
      <c r="A12" t="s">
        <v>10</v>
      </c>
      <c r="B12" s="1">
        <v>11000000</v>
      </c>
      <c r="C12">
        <v>60</v>
      </c>
      <c r="D12">
        <v>54</v>
      </c>
      <c r="E12" s="4">
        <f t="shared" si="1"/>
        <v>174</v>
      </c>
      <c r="F12" s="4">
        <f t="shared" si="0"/>
        <v>23727.272727272728</v>
      </c>
    </row>
    <row r="13" spans="1:6" x14ac:dyDescent="0.45">
      <c r="A13" t="s">
        <v>11</v>
      </c>
      <c r="B13" s="1">
        <v>11000000</v>
      </c>
      <c r="C13">
        <v>9</v>
      </c>
      <c r="D13">
        <v>22</v>
      </c>
      <c r="E13" s="4">
        <f t="shared" si="1"/>
        <v>138</v>
      </c>
      <c r="F13" s="4">
        <f t="shared" si="0"/>
        <v>18818.181818181816</v>
      </c>
    </row>
    <row r="14" spans="1:6" x14ac:dyDescent="0.45">
      <c r="A14" t="s">
        <v>12</v>
      </c>
      <c r="B14" s="1">
        <v>11000000</v>
      </c>
      <c r="C14" s="1">
        <v>172</v>
      </c>
      <c r="D14">
        <v>34</v>
      </c>
      <c r="E14" s="4">
        <f t="shared" si="1"/>
        <v>362</v>
      </c>
      <c r="F14" s="4">
        <f t="shared" si="0"/>
        <v>49363.636363636368</v>
      </c>
    </row>
    <row r="15" spans="1:6" x14ac:dyDescent="0.45">
      <c r="A15" t="s">
        <v>13</v>
      </c>
      <c r="B15" s="1">
        <v>11000000</v>
      </c>
      <c r="C15" s="1">
        <v>123</v>
      </c>
      <c r="D15">
        <v>134</v>
      </c>
      <c r="E15" s="4">
        <f t="shared" si="1"/>
        <v>590</v>
      </c>
      <c r="F15" s="4">
        <f t="shared" si="0"/>
        <v>80454.545454545456</v>
      </c>
    </row>
    <row r="16" spans="1:6" x14ac:dyDescent="0.45">
      <c r="A16" t="s">
        <v>14</v>
      </c>
      <c r="B16" s="1">
        <v>11000000</v>
      </c>
      <c r="C16">
        <v>182</v>
      </c>
      <c r="D16">
        <v>160</v>
      </c>
      <c r="E16" s="4">
        <f t="shared" si="1"/>
        <v>610</v>
      </c>
      <c r="F16" s="4">
        <f t="shared" si="0"/>
        <v>83181.818181818177</v>
      </c>
    </row>
    <row r="17" spans="1:6" x14ac:dyDescent="0.45">
      <c r="A17" t="s">
        <v>15</v>
      </c>
      <c r="B17" s="1">
        <v>11000000</v>
      </c>
      <c r="C17">
        <v>124</v>
      </c>
      <c r="D17">
        <v>108</v>
      </c>
      <c r="E17" s="4">
        <f t="shared" si="1"/>
        <v>612</v>
      </c>
      <c r="F17" s="4">
        <f t="shared" si="0"/>
        <v>83454.545454545456</v>
      </c>
    </row>
    <row r="18" spans="1:6" x14ac:dyDescent="0.45">
      <c r="A18" t="s">
        <v>16</v>
      </c>
      <c r="B18" s="1">
        <v>11000000</v>
      </c>
      <c r="C18" s="1">
        <v>113</v>
      </c>
      <c r="D18">
        <v>105</v>
      </c>
      <c r="E18" s="4">
        <f t="shared" si="1"/>
        <v>474</v>
      </c>
      <c r="F18" s="4">
        <f t="shared" si="0"/>
        <v>64636.363636363632</v>
      </c>
    </row>
    <row r="19" spans="1:6" x14ac:dyDescent="0.45">
      <c r="A19" t="s">
        <v>17</v>
      </c>
      <c r="B19" s="1">
        <v>11000000</v>
      </c>
      <c r="C19">
        <v>90</v>
      </c>
      <c r="D19">
        <v>100</v>
      </c>
      <c r="E19" s="4">
        <f t="shared" si="1"/>
        <v>406</v>
      </c>
      <c r="F19" s="4">
        <f t="shared" si="0"/>
        <v>55363.636363636368</v>
      </c>
    </row>
    <row r="20" spans="1:6" x14ac:dyDescent="0.45">
      <c r="A20" t="s">
        <v>18</v>
      </c>
      <c r="B20" s="1">
        <v>11000000</v>
      </c>
      <c r="C20">
        <v>196</v>
      </c>
      <c r="D20">
        <v>160</v>
      </c>
      <c r="E20" s="4">
        <f t="shared" si="1"/>
        <v>572</v>
      </c>
      <c r="F20" s="4">
        <f t="shared" si="0"/>
        <v>78000</v>
      </c>
    </row>
    <row r="21" spans="1:6" x14ac:dyDescent="0.45">
      <c r="A21" t="s">
        <v>19</v>
      </c>
      <c r="B21" s="1">
        <v>11000000</v>
      </c>
      <c r="C21">
        <v>105</v>
      </c>
      <c r="D21">
        <v>105</v>
      </c>
      <c r="E21" s="4">
        <f t="shared" si="1"/>
        <v>602</v>
      </c>
      <c r="F21" s="4">
        <f t="shared" si="0"/>
        <v>82090.909090909088</v>
      </c>
    </row>
    <row r="22" spans="1:6" x14ac:dyDescent="0.45">
      <c r="A22" t="s">
        <v>20</v>
      </c>
      <c r="B22" s="1">
        <v>11000000</v>
      </c>
      <c r="C22">
        <v>83</v>
      </c>
      <c r="D22" s="1">
        <v>53</v>
      </c>
      <c r="E22" s="4">
        <f t="shared" si="1"/>
        <v>376</v>
      </c>
      <c r="F22" s="4">
        <f t="shared" si="0"/>
        <v>51272.727272727272</v>
      </c>
    </row>
    <row r="23" spans="1:6" x14ac:dyDescent="0.45">
      <c r="A23" t="s">
        <v>21</v>
      </c>
      <c r="B23" s="1">
        <v>11000000</v>
      </c>
      <c r="C23">
        <v>48</v>
      </c>
      <c r="D23">
        <v>42</v>
      </c>
      <c r="E23" s="4">
        <f t="shared" si="1"/>
        <v>262</v>
      </c>
      <c r="F23" s="4">
        <f t="shared" si="0"/>
        <v>35727.272727272728</v>
      </c>
    </row>
    <row r="24" spans="1:6" x14ac:dyDescent="0.45">
      <c r="A24" t="s">
        <v>22</v>
      </c>
      <c r="B24" s="1">
        <v>11000000</v>
      </c>
      <c r="C24">
        <v>19</v>
      </c>
      <c r="D24">
        <v>33</v>
      </c>
      <c r="E24" s="4">
        <f t="shared" si="1"/>
        <v>134</v>
      </c>
      <c r="F24" s="4">
        <f t="shared" si="0"/>
        <v>18272.727272727272</v>
      </c>
    </row>
    <row r="25" spans="1:6" x14ac:dyDescent="0.45">
      <c r="A25" t="s">
        <v>23</v>
      </c>
      <c r="B25" s="1">
        <v>11000000</v>
      </c>
      <c r="C25">
        <v>4</v>
      </c>
      <c r="D25">
        <v>-18</v>
      </c>
      <c r="E25" s="4">
        <f t="shared" si="1"/>
        <v>46</v>
      </c>
      <c r="F25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프로텍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2025-01-28T14:51:12Z</dcterms:created>
  <dcterms:modified xsi:type="dcterms:W3CDTF">2025-07-16T23:59:28Z</dcterms:modified>
</cp:coreProperties>
</file>