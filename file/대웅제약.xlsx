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74CE016E-F864-40AD-8B21-A5AF685D3FD6}" xr6:coauthVersionLast="47" xr6:coauthVersionMax="47" xr10:uidLastSave="{00000000-0000-0000-0000-000000000000}"/>
  <bookViews>
    <workbookView xWindow="29228" yWindow="1230" windowWidth="16492" windowHeight="14205" xr2:uid="{B4A2AFA2-309D-402A-8814-206C193F4B61}"/>
  </bookViews>
  <sheets>
    <sheet name="대웅제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" i="1"/>
  <c r="E3" i="1"/>
  <c r="E2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<sst xmlns="http://schemas.openxmlformats.org/spreadsheetml/2006/main" count="30" uniqueCount="30">
  <si>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</si>
  <si>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</si>
  <si>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</si>
  <si>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</si>
  <si>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</si>
  <si>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</si>
  <si>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</si>
  <si>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</si>
  <si>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</si>
  <si>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</si>
  <si>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</si>
  <si>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</si>
  <si>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</si>
  <si>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</si>
  <si>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</si>
  <si>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</si>
  <si>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</si>
  <si>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</si>
  <si>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</si>
  <si>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</si>
  <si>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</si>
  <si>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</si>
  <si>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</si>
  <si>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</si>
  <si>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</si>
  <si>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2026.2Q</t>
    <phoneticPr fontId="18" type="noConversion"/>
  </si>
  <si>
    <t>2026.1Q</t>
    <phoneticPr fontId="18" type="noConversion"/>
  </si>
  <si>
    <t>2025.2Q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</si>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</sst>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33CC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4" borderId="10" xfId="0" applyFill="1" applyBorder="1">
      <alignment vertical="center"/>
    </xf>
    <xf numFmtId="3" fontId="19" fillId="34" borderId="10" xfId="0" applyNumberFormat="1" applyFont="1" applyFill="1" applyBorder="1">
      <alignment vertical="center"/>
    </xf>
    <xf numFmtId="41" fontId="19" fillId="34" borderId="10" xfId="42" applyFont="1" applyFill="1" applyBorder="1">
      <alignment vertical="center"/>
    </xf>
    <xf numFmtId="41" fontId="20" fillId="33" borderId="10" xfId="42" applyFont="1" applyFill="1" applyBorder="1">
      <alignment vertical="center"/>
    </xf>
    <xf numFmtId="41" fontId="21" fillId="35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F6A8-5540-41F3-90A1-95981879DC13}">
  <dimension ref="A1:F25"/>
  <sheetViews>
    <sheetView tabSelected="1" workbookViewId="0">
      <selection activeCell="F2" sqref="F2:F25"/>
    </sheetView>
  </sheetViews>
  <sheetFormatPr defaultRowHeight="16.899999999999999" x14ac:dyDescent="0.6"/>
  <cols>
    <col min="1" max="1" width="8" bestFit="1" customWidth="1"/>
    <col min="2" max="2" width="11.0625" bestFit="1" customWidth="1"/>
    <col min="3" max="4" width="9.0625" bestFit="1" customWidth="1"/>
    <col min="5" max="5" width="10.4375" bestFit="1" customWidth="1"/>
    <col min="6" max="6" width="12" customWidth="1"/>
  </cols>
  <sheetData>
    <row r="1" spans="1:6" x14ac:dyDescent="0.6">
      <c r="A1" s="1" t="s">
        <v>0</v>
      </c>
      <c r="B1" s="1" t="s">
        <v>20</v>
      </c>
      <c r="C1" s="1" t="s">
        <v>1</v>
      </c>
      <c r="D1" s="1" t="s">
        <v>2</v>
      </c>
      <c r="E1" s="1" t="s">
        <v>21</v>
      </c>
      <c r="F1" s="1" t="s">
        <v>22</v>
      </c>
    </row>
    <row r="2" spans="1:6" x14ac:dyDescent="0.6">
      <c r="A2" s="2" t="s">
        <v>29</v>
      </c>
      <c r="B2" s="3">
        <v>11586575</v>
      </c>
      <c r="C2" s="5">
        <v>621</v>
      </c>
      <c r="D2" s="5">
        <v>477</v>
      </c>
      <c r="E2" s="4">
        <f>(C2*2+C3*2)</f>
        <v>2436</v>
      </c>
      <c r="F2" s="4">
        <f>E2*100000000/B2*9</f>
        <v>189218.98835505746</v>
      </c>
    </row>
    <row r="3" spans="1:6" x14ac:dyDescent="0.6">
      <c r="A3" s="2" t="s">
        <v>28</v>
      </c>
      <c r="B3" s="3">
        <v>11586575</v>
      </c>
      <c r="C3" s="5">
        <v>597</v>
      </c>
      <c r="D3" s="5">
        <v>433</v>
      </c>
      <c r="E3" s="4">
        <f>(C3*2+C2*2)</f>
        <v>2436</v>
      </c>
      <c r="F3" s="4">
        <f t="shared" ref="F3:F25" si="0">E3*100000000/B3*9</f>
        <v>189218.98835505746</v>
      </c>
    </row>
    <row r="4" spans="1:6" x14ac:dyDescent="0.6">
      <c r="A4" s="2" t="s">
        <v>25</v>
      </c>
      <c r="B4" s="3">
        <v>11586575</v>
      </c>
      <c r="C4" s="6">
        <v>493</v>
      </c>
      <c r="D4" s="6">
        <v>326</v>
      </c>
      <c r="E4" s="4">
        <f>(C4+C3*2+C2)</f>
        <v>2308</v>
      </c>
      <c r="F4" s="4">
        <f t="shared" si="0"/>
        <v>179276.44709502161</v>
      </c>
    </row>
    <row r="5" spans="1:6" x14ac:dyDescent="0.6">
      <c r="A5" s="2" t="s">
        <v>26</v>
      </c>
      <c r="B5" s="3">
        <v>11586575</v>
      </c>
      <c r="C5" s="4">
        <v>222</v>
      </c>
      <c r="D5" s="4">
        <v>259</v>
      </c>
      <c r="E5" s="4">
        <f t="shared" ref="E5:E25" si="1">(C5+C4*2+C3)</f>
        <v>1805</v>
      </c>
      <c r="F5" s="4">
        <f t="shared" si="0"/>
        <v>140205.36698722444</v>
      </c>
    </row>
    <row r="6" spans="1:6" x14ac:dyDescent="0.6">
      <c r="A6" s="2" t="s">
        <v>24</v>
      </c>
      <c r="B6" s="3">
        <v>11586575</v>
      </c>
      <c r="C6" s="4">
        <v>433.4</v>
      </c>
      <c r="D6" s="4">
        <v>898.4</v>
      </c>
      <c r="E6" s="4">
        <f t="shared" si="1"/>
        <v>1370.4</v>
      </c>
      <c r="F6" s="4">
        <f t="shared" si="0"/>
        <v>106447.33236525895</v>
      </c>
    </row>
    <row r="7" spans="1:6" x14ac:dyDescent="0.6">
      <c r="A7" s="2" t="s">
        <v>23</v>
      </c>
      <c r="B7" s="3">
        <v>11586575</v>
      </c>
      <c r="C7" s="4">
        <v>569</v>
      </c>
      <c r="D7" s="4">
        <v>473</v>
      </c>
      <c r="E7" s="4">
        <f t="shared" si="1"/>
        <v>1657.8</v>
      </c>
      <c r="F7" s="4">
        <f t="shared" si="0"/>
        <v>128771.4445381832</v>
      </c>
    </row>
    <row r="8" spans="1:6" x14ac:dyDescent="0.6">
      <c r="A8" s="2" t="s">
        <v>27</v>
      </c>
      <c r="B8" s="3">
        <v>11586575</v>
      </c>
      <c r="C8" s="4">
        <v>579</v>
      </c>
      <c r="D8" s="4">
        <v>401</v>
      </c>
      <c r="E8" s="4">
        <f t="shared" si="1"/>
        <v>2150.4</v>
      </c>
      <c r="F8" s="4">
        <f t="shared" si="0"/>
        <v>167034.69316860245</v>
      </c>
    </row>
    <row r="9" spans="1:6" x14ac:dyDescent="0.6">
      <c r="A9" s="2" t="s">
        <v>3</v>
      </c>
      <c r="B9" s="3">
        <v>11586575</v>
      </c>
      <c r="C9" s="4">
        <v>387</v>
      </c>
      <c r="D9" s="4">
        <v>198</v>
      </c>
      <c r="E9" s="4">
        <f t="shared" si="1"/>
        <v>2114</v>
      </c>
      <c r="F9" s="4">
        <f t="shared" si="0"/>
        <v>164207.28299777975</v>
      </c>
    </row>
    <row r="10" spans="1:6" x14ac:dyDescent="0.6">
      <c r="A10" s="2" t="s">
        <v>4</v>
      </c>
      <c r="B10" s="3">
        <v>11586575</v>
      </c>
      <c r="C10" s="4">
        <v>387</v>
      </c>
      <c r="D10" s="4">
        <v>-115</v>
      </c>
      <c r="E10" s="4">
        <f t="shared" si="1"/>
        <v>1740</v>
      </c>
      <c r="F10" s="4">
        <f t="shared" si="0"/>
        <v>135156.42025361248</v>
      </c>
    </row>
    <row r="11" spans="1:6" x14ac:dyDescent="0.6">
      <c r="A11" s="2" t="s">
        <v>5</v>
      </c>
      <c r="B11" s="3">
        <v>11586575</v>
      </c>
      <c r="C11" s="4">
        <v>373</v>
      </c>
      <c r="D11" s="4">
        <v>283</v>
      </c>
      <c r="E11" s="4">
        <f t="shared" si="1"/>
        <v>1534</v>
      </c>
      <c r="F11" s="4">
        <f t="shared" si="0"/>
        <v>119155.14291324226</v>
      </c>
    </row>
    <row r="12" spans="1:6" x14ac:dyDescent="0.6">
      <c r="A12" s="2" t="s">
        <v>6</v>
      </c>
      <c r="B12" s="3">
        <v>11586575</v>
      </c>
      <c r="C12" s="4">
        <v>423</v>
      </c>
      <c r="D12" s="4">
        <v>-13</v>
      </c>
      <c r="E12" s="4">
        <f t="shared" si="1"/>
        <v>1556</v>
      </c>
      <c r="F12" s="4">
        <f t="shared" si="0"/>
        <v>120864.01719231093</v>
      </c>
    </row>
    <row r="13" spans="1:6" x14ac:dyDescent="0.6">
      <c r="A13" s="2" t="s">
        <v>7</v>
      </c>
      <c r="B13" s="3">
        <v>11586575</v>
      </c>
      <c r="C13" s="4">
        <v>297</v>
      </c>
      <c r="D13" s="4">
        <v>79</v>
      </c>
      <c r="E13" s="4">
        <f t="shared" si="1"/>
        <v>1516</v>
      </c>
      <c r="F13" s="4">
        <f t="shared" si="0"/>
        <v>117756.97304854971</v>
      </c>
    </row>
    <row r="14" spans="1:6" x14ac:dyDescent="0.6">
      <c r="A14" s="2" t="s">
        <v>8</v>
      </c>
      <c r="B14" s="3">
        <v>11586575</v>
      </c>
      <c r="C14" s="4">
        <v>287</v>
      </c>
      <c r="D14" s="4">
        <v>622</v>
      </c>
      <c r="E14" s="4">
        <f t="shared" si="1"/>
        <v>1304</v>
      </c>
      <c r="F14" s="4">
        <f t="shared" si="0"/>
        <v>101289.63908661534</v>
      </c>
    </row>
    <row r="15" spans="1:6" x14ac:dyDescent="0.6">
      <c r="A15" s="2" t="s">
        <v>9</v>
      </c>
      <c r="B15" s="3">
        <v>11586575</v>
      </c>
      <c r="C15" s="4">
        <v>294</v>
      </c>
      <c r="D15" s="4">
        <v>153</v>
      </c>
      <c r="E15" s="4">
        <f t="shared" si="1"/>
        <v>1165</v>
      </c>
      <c r="F15" s="4">
        <f t="shared" si="0"/>
        <v>90492.660687045136</v>
      </c>
    </row>
    <row r="16" spans="1:6" x14ac:dyDescent="0.6">
      <c r="A16" s="2" t="s">
        <v>10</v>
      </c>
      <c r="B16" s="3">
        <v>11586575</v>
      </c>
      <c r="C16" s="4">
        <v>401</v>
      </c>
      <c r="D16" s="4">
        <v>288</v>
      </c>
      <c r="E16" s="4">
        <f t="shared" si="1"/>
        <v>1276</v>
      </c>
      <c r="F16" s="4">
        <f t="shared" si="0"/>
        <v>99114.708185982483</v>
      </c>
    </row>
    <row r="17" spans="1:6" x14ac:dyDescent="0.6">
      <c r="A17" s="2" t="s">
        <v>11</v>
      </c>
      <c r="B17" s="3">
        <v>11586575</v>
      </c>
      <c r="C17" s="4">
        <v>245</v>
      </c>
      <c r="D17" s="4">
        <v>138</v>
      </c>
      <c r="E17" s="4">
        <f t="shared" si="1"/>
        <v>1341</v>
      </c>
      <c r="F17" s="4">
        <f t="shared" si="0"/>
        <v>104163.65491959444</v>
      </c>
    </row>
    <row r="18" spans="1:6" x14ac:dyDescent="0.6">
      <c r="A18" s="2" t="s">
        <v>12</v>
      </c>
      <c r="B18" s="3">
        <v>11586575</v>
      </c>
      <c r="C18" s="4">
        <v>126</v>
      </c>
      <c r="D18" s="4">
        <v>-114</v>
      </c>
      <c r="E18" s="4">
        <f t="shared" si="1"/>
        <v>1017</v>
      </c>
      <c r="F18" s="4">
        <f t="shared" si="0"/>
        <v>78996.597355128673</v>
      </c>
    </row>
    <row r="19" spans="1:6" x14ac:dyDescent="0.6">
      <c r="A19" s="2" t="s">
        <v>13</v>
      </c>
      <c r="B19" s="3">
        <v>11586575</v>
      </c>
      <c r="C19" s="4">
        <v>301</v>
      </c>
      <c r="D19" s="4">
        <v>212</v>
      </c>
      <c r="E19" s="4">
        <f t="shared" si="1"/>
        <v>798</v>
      </c>
      <c r="F19" s="4">
        <f t="shared" si="0"/>
        <v>61985.530668036066</v>
      </c>
    </row>
    <row r="20" spans="1:6" x14ac:dyDescent="0.6">
      <c r="A20" s="2" t="s">
        <v>14</v>
      </c>
      <c r="B20" s="3">
        <v>11586575</v>
      </c>
      <c r="C20" s="4">
        <v>300</v>
      </c>
      <c r="D20" s="4">
        <v>162</v>
      </c>
      <c r="E20" s="4">
        <f t="shared" si="1"/>
        <v>1028</v>
      </c>
      <c r="F20" s="4">
        <f t="shared" si="0"/>
        <v>79851.034494663007</v>
      </c>
    </row>
    <row r="21" spans="1:6" x14ac:dyDescent="0.6">
      <c r="A21" s="2" t="s">
        <v>15</v>
      </c>
      <c r="B21" s="3">
        <v>11586575</v>
      </c>
      <c r="C21" s="4">
        <v>230</v>
      </c>
      <c r="D21" s="4">
        <v>131</v>
      </c>
      <c r="E21" s="4">
        <f t="shared" si="1"/>
        <v>1131</v>
      </c>
      <c r="F21" s="4">
        <f t="shared" si="0"/>
        <v>87851.673164848107</v>
      </c>
    </row>
    <row r="22" spans="1:6" x14ac:dyDescent="0.6">
      <c r="A22" s="2" t="s">
        <v>16</v>
      </c>
      <c r="B22" s="3">
        <v>11586575</v>
      </c>
      <c r="C22" s="4">
        <v>248</v>
      </c>
      <c r="D22" s="4">
        <v>300</v>
      </c>
      <c r="E22" s="4">
        <f t="shared" si="1"/>
        <v>1008</v>
      </c>
      <c r="F22" s="4">
        <f t="shared" si="0"/>
        <v>78297.512422782398</v>
      </c>
    </row>
    <row r="23" spans="1:6" x14ac:dyDescent="0.6">
      <c r="A23" s="2" t="s">
        <v>17</v>
      </c>
      <c r="B23" s="3">
        <v>11586575</v>
      </c>
      <c r="C23" s="4">
        <v>227</v>
      </c>
      <c r="D23" s="4">
        <v>120</v>
      </c>
      <c r="E23" s="4">
        <f t="shared" si="1"/>
        <v>953</v>
      </c>
      <c r="F23" s="4">
        <f t="shared" si="0"/>
        <v>74025.326725110732</v>
      </c>
    </row>
    <row r="24" spans="1:6" x14ac:dyDescent="0.6">
      <c r="A24" s="2" t="s">
        <v>18</v>
      </c>
      <c r="B24" s="3">
        <v>11586575</v>
      </c>
      <c r="C24" s="4">
        <v>187</v>
      </c>
      <c r="D24" s="4">
        <v>90</v>
      </c>
      <c r="E24" s="4">
        <f t="shared" si="1"/>
        <v>889</v>
      </c>
      <c r="F24" s="4">
        <f t="shared" si="0"/>
        <v>69054.056095092805</v>
      </c>
    </row>
    <row r="25" spans="1:6" x14ac:dyDescent="0.6">
      <c r="A25" s="2" t="s">
        <v>19</v>
      </c>
      <c r="B25" s="3">
        <v>11586575</v>
      </c>
      <c r="C25" s="4">
        <v>226</v>
      </c>
      <c r="D25" s="4">
        <v>-209</v>
      </c>
      <c r="E25" s="4">
        <f t="shared" si="1"/>
        <v>827</v>
      </c>
      <c r="F25" s="4">
        <f t="shared" si="0"/>
        <v>64238.137672262943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대웅제약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2025-02-02T03:12:20Z</dcterms:created>
  <dcterms:modified xsi:type="dcterms:W3CDTF">2026-07-01T23:46:50Z</dcterms:modified>
</cp:coreProperties>
</file>