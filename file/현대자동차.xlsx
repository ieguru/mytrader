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09C54605-E71A-4C86-AF4F-066B91FF5B79}" xr6:coauthVersionLast="47" xr6:coauthVersionMax="47" xr10:uidLastSave="{00000000-0000-0000-0000-000000000000}"/>
  <bookViews>
    <workbookView xWindow="3160" yWindow="3040" windowWidth="16850" windowHeight="17660" xr2:uid="{D3AF1327-C308-42CF-AFA5-FE59593F7F78}"/>
  </bookViews>
  <sheets>
    <sheet name="현대자동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<sst xmlns="http://schemas.openxmlformats.org/spreadsheetml/2006/main" count="32" uniqueCount="32">
  <si>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</si>
  <si>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</si>
  <si>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</si>
  <si>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</si>
  <si>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</si>
  <si>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</si>
  <si>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</si>
  <si>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</si>
  <si>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</si>
  <si>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</si>
  <si>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</si>
  <si>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</si>
  <si>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</si>
  <si>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</si>
  <si>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</si>
  <si>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</si>
  <si>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</si>
  <si>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</si>
  <si>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</si>
  <si>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</si>
  <si>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</si>
  <si>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</si>
  <si>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</si>
  <si>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</si>
  <si>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</si>
  <si>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</si>
  <si>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</si>
  <si>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</si>
  <si>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2025.4Q</t>
  </si>
  <si>
    <t>2025.3Q</t>
  </si>
  <si>
    <t>2026.1Q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</si>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</sst>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7"/>
  <sheetViews>
    <sheetView tabSelected="1" workbookViewId="0">
      <selection activeCell="F2" sqref="F2"/>
    </sheetView>
  </sheetViews>
  <sheetFormatPr defaultRowHeight="17" x14ac:dyDescent="0.45"/>
  <cols>
    <col min="2" max="2" width="12.33203125" customWidth="1"/>
    <col min="5" max="6" width="9.0820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31</v>
      </c>
      <c r="B2" s="1">
        <v>209416191</v>
      </c>
      <c r="C2" s="3">
        <v>36060.199999999997</v>
      </c>
      <c r="D2" s="3">
        <v>31538.799999999999</v>
      </c>
      <c r="E2" s="3">
        <f>(C2*2+C3*2)</f>
        <v>132301.20000000001</v>
      </c>
      <c r="F2" s="3">
        <f>E2*100000000/B2*6</f>
        <v>379057.22389917792</v>
      </c>
    </row>
    <row r="3" spans="1:6" x14ac:dyDescent="0.45">
      <c r="A3" t="s">
        <v>30</v>
      </c>
      <c r="B3" s="1">
        <v>209416191</v>
      </c>
      <c r="C3" s="3">
        <v>30090.400000000001</v>
      </c>
      <c r="D3" s="3">
        <v>26790.9</v>
      </c>
      <c r="E3" s="3">
        <f>(C2*2+C3*2)</f>
        <v>132301.20000000001</v>
      </c>
      <c r="F3" s="3">
        <f t="shared" ref="F3:F25" si="0">E3*100000000/B3*6</f>
        <v>379057.22389917792</v>
      </c>
    </row>
    <row r="4" spans="1:6" x14ac:dyDescent="0.45">
      <c r="A4" t="s">
        <v>28</v>
      </c>
      <c r="B4" s="1">
        <v>209416191</v>
      </c>
      <c r="C4" s="3">
        <v>28025.200000000001</v>
      </c>
      <c r="D4" s="3">
        <v>24864.3</v>
      </c>
      <c r="E4" s="3">
        <f>(C3*2+C4+C2)</f>
        <v>124266.2</v>
      </c>
      <c r="F4" s="3">
        <f t="shared" si="0"/>
        <v>356036.0812789303</v>
      </c>
    </row>
    <row r="5" spans="1:6" x14ac:dyDescent="0.45">
      <c r="A5" t="s">
        <v>29</v>
      </c>
      <c r="B5" s="1">
        <v>209416191</v>
      </c>
      <c r="C5" s="3">
        <v>25372.7</v>
      </c>
      <c r="D5" s="3">
        <v>22613.5</v>
      </c>
      <c r="E5" s="3">
        <f>(C3+C4+C5*2)</f>
        <v>108861</v>
      </c>
      <c r="F5" s="3">
        <f t="shared" si="0"/>
        <v>311898.51982361765</v>
      </c>
    </row>
    <row r="6" spans="1:6" x14ac:dyDescent="0.45">
      <c r="A6" t="s">
        <v>6</v>
      </c>
      <c r="B6" s="1">
        <v>209416191</v>
      </c>
      <c r="C6" s="3">
        <v>36016</v>
      </c>
      <c r="D6" s="3">
        <v>29983</v>
      </c>
      <c r="E6" s="3">
        <f t="shared" ref="E6:E25" si="1">(C4+C5+C6*2)</f>
        <v>125429.9</v>
      </c>
      <c r="F6" s="3">
        <f t="shared" si="0"/>
        <v>359370.20743539359</v>
      </c>
    </row>
    <row r="7" spans="1:6" x14ac:dyDescent="0.45">
      <c r="A7" t="s">
        <v>7</v>
      </c>
      <c r="B7" s="1">
        <v>209416191</v>
      </c>
      <c r="C7" s="3">
        <v>36545</v>
      </c>
      <c r="D7" s="3">
        <v>33910</v>
      </c>
      <c r="E7" s="3">
        <f t="shared" si="1"/>
        <v>134478.70000000001</v>
      </c>
      <c r="F7" s="3">
        <f t="shared" si="0"/>
        <v>385295.99652588472</v>
      </c>
    </row>
    <row r="8" spans="1:6" x14ac:dyDescent="0.45">
      <c r="A8" t="s">
        <v>8</v>
      </c>
      <c r="B8" s="1">
        <v>209416191</v>
      </c>
      <c r="C8" s="3">
        <v>34198</v>
      </c>
      <c r="D8" s="3">
        <v>27796</v>
      </c>
      <c r="E8" s="3">
        <f t="shared" si="1"/>
        <v>140957</v>
      </c>
      <c r="F8" s="3">
        <f t="shared" si="0"/>
        <v>403857.02555348264</v>
      </c>
    </row>
    <row r="9" spans="1:6" x14ac:dyDescent="0.45">
      <c r="A9" t="s">
        <v>9</v>
      </c>
      <c r="B9" s="1">
        <v>209416191</v>
      </c>
      <c r="C9" s="3">
        <v>35809</v>
      </c>
      <c r="D9" s="3">
        <v>32059</v>
      </c>
      <c r="E9" s="3">
        <f t="shared" si="1"/>
        <v>142361</v>
      </c>
      <c r="F9" s="3">
        <f t="shared" si="0"/>
        <v>407879.63715756824</v>
      </c>
    </row>
    <row r="10" spans="1:6" x14ac:dyDescent="0.45">
      <c r="A10" t="s">
        <v>10</v>
      </c>
      <c r="B10" s="1">
        <v>209416191</v>
      </c>
      <c r="C10" s="3">
        <v>42791</v>
      </c>
      <c r="D10" s="3">
        <v>41739</v>
      </c>
      <c r="E10" s="3">
        <f t="shared" si="1"/>
        <v>155589</v>
      </c>
      <c r="F10" s="3">
        <f t="shared" si="0"/>
        <v>445779.28551856818</v>
      </c>
    </row>
    <row r="11" spans="1:6" x14ac:dyDescent="0.45">
      <c r="A11" t="s">
        <v>11</v>
      </c>
      <c r="B11" s="1">
        <v>209416191</v>
      </c>
      <c r="C11" s="3">
        <v>35574</v>
      </c>
      <c r="D11" s="3">
        <v>33760</v>
      </c>
      <c r="E11" s="3">
        <f t="shared" si="1"/>
        <v>149748</v>
      </c>
      <c r="F11" s="3">
        <f t="shared" si="0"/>
        <v>429044.18980669929</v>
      </c>
    </row>
    <row r="12" spans="1:6" x14ac:dyDescent="0.45">
      <c r="A12" t="s">
        <v>12</v>
      </c>
      <c r="B12" s="1">
        <v>209416191</v>
      </c>
      <c r="C12" s="3">
        <v>34745</v>
      </c>
      <c r="D12" s="3">
        <v>22026</v>
      </c>
      <c r="E12" s="3">
        <f t="shared" si="1"/>
        <v>147855</v>
      </c>
      <c r="F12" s="3">
        <f t="shared" si="0"/>
        <v>423620.54040033603</v>
      </c>
    </row>
    <row r="13" spans="1:6" x14ac:dyDescent="0.45">
      <c r="A13" t="s">
        <v>13</v>
      </c>
      <c r="B13" s="1">
        <v>209416191</v>
      </c>
      <c r="C13" s="3">
        <v>38218</v>
      </c>
      <c r="D13" s="3">
        <v>33035</v>
      </c>
      <c r="E13" s="3">
        <f t="shared" si="1"/>
        <v>146755</v>
      </c>
      <c r="F13" s="3">
        <f t="shared" si="0"/>
        <v>420468.9216222064</v>
      </c>
    </row>
    <row r="14" spans="1:6" x14ac:dyDescent="0.45">
      <c r="A14" t="s">
        <v>14</v>
      </c>
      <c r="B14" s="1">
        <v>209416191</v>
      </c>
      <c r="C14" s="3">
        <v>42379</v>
      </c>
      <c r="D14" s="3">
        <v>33468</v>
      </c>
      <c r="E14" s="3">
        <f t="shared" si="1"/>
        <v>157721</v>
      </c>
      <c r="F14" s="3">
        <f t="shared" si="0"/>
        <v>451887.69573217956</v>
      </c>
    </row>
    <row r="15" spans="1:6" x14ac:dyDescent="0.45">
      <c r="A15" t="s">
        <v>15</v>
      </c>
      <c r="B15" s="1">
        <v>209416191</v>
      </c>
      <c r="C15" s="3">
        <v>35927</v>
      </c>
      <c r="D15" s="3">
        <v>34194</v>
      </c>
      <c r="E15" s="3">
        <f t="shared" si="1"/>
        <v>152451</v>
      </c>
      <c r="F15" s="3">
        <f t="shared" si="0"/>
        <v>436788.57667695807</v>
      </c>
    </row>
    <row r="16" spans="1:6" x14ac:dyDescent="0.45">
      <c r="A16" t="s">
        <v>16</v>
      </c>
      <c r="B16" s="1">
        <v>209416191</v>
      </c>
      <c r="C16" s="3">
        <v>33644</v>
      </c>
      <c r="D16" s="3">
        <v>17099</v>
      </c>
      <c r="E16" s="3">
        <f t="shared" si="1"/>
        <v>145594</v>
      </c>
      <c r="F16" s="3">
        <f t="shared" si="0"/>
        <v>417142.53125728946</v>
      </c>
    </row>
    <row r="17" spans="1:6" x14ac:dyDescent="0.45">
      <c r="A17" t="s">
        <v>17</v>
      </c>
      <c r="B17" s="1">
        <v>209416191</v>
      </c>
      <c r="C17" s="3">
        <v>15518</v>
      </c>
      <c r="D17" s="3">
        <v>14115</v>
      </c>
      <c r="E17" s="3">
        <f t="shared" si="1"/>
        <v>100607</v>
      </c>
      <c r="F17" s="3">
        <f t="shared" si="0"/>
        <v>288249.91855572426</v>
      </c>
    </row>
    <row r="18" spans="1:6" x14ac:dyDescent="0.45">
      <c r="A18" t="s">
        <v>18</v>
      </c>
      <c r="B18" s="1">
        <v>209416191</v>
      </c>
      <c r="C18" s="3">
        <v>29798</v>
      </c>
      <c r="D18" s="3">
        <v>30848</v>
      </c>
      <c r="E18" s="3">
        <f t="shared" si="1"/>
        <v>108758</v>
      </c>
      <c r="F18" s="3">
        <f t="shared" si="0"/>
        <v>311603.41370166547</v>
      </c>
    </row>
    <row r="19" spans="1:6" x14ac:dyDescent="0.45">
      <c r="A19" t="s">
        <v>19</v>
      </c>
      <c r="B19" s="1">
        <v>209416191</v>
      </c>
      <c r="C19" s="3">
        <v>19289</v>
      </c>
      <c r="D19" s="3">
        <v>17774</v>
      </c>
      <c r="E19" s="3">
        <f t="shared" si="1"/>
        <v>83894</v>
      </c>
      <c r="F19" s="3">
        <f t="shared" si="0"/>
        <v>240365.36888401335</v>
      </c>
    </row>
    <row r="20" spans="1:6" x14ac:dyDescent="0.45">
      <c r="A20" t="s">
        <v>20</v>
      </c>
      <c r="B20" s="1">
        <v>209416191</v>
      </c>
      <c r="C20" s="3">
        <v>15297</v>
      </c>
      <c r="D20" s="3">
        <v>7014</v>
      </c>
      <c r="E20" s="3">
        <f t="shared" si="1"/>
        <v>79681</v>
      </c>
      <c r="F20" s="3">
        <f t="shared" si="0"/>
        <v>228294.66896377655</v>
      </c>
    </row>
    <row r="21" spans="1:6" x14ac:dyDescent="0.45">
      <c r="A21" t="s">
        <v>21</v>
      </c>
      <c r="B21" s="1">
        <v>209416191</v>
      </c>
      <c r="C21" s="3">
        <v>16067</v>
      </c>
      <c r="D21" s="3">
        <v>14869</v>
      </c>
      <c r="E21" s="3">
        <f t="shared" si="1"/>
        <v>66720</v>
      </c>
      <c r="F21" s="3">
        <f t="shared" si="0"/>
        <v>191160.0044334681</v>
      </c>
    </row>
    <row r="22" spans="1:6" x14ac:dyDescent="0.45">
      <c r="A22" t="s">
        <v>22</v>
      </c>
      <c r="B22" s="1">
        <v>209416191</v>
      </c>
      <c r="C22" s="3">
        <v>18860</v>
      </c>
      <c r="D22" s="3">
        <v>19826</v>
      </c>
      <c r="E22" s="3">
        <f t="shared" si="1"/>
        <v>69084</v>
      </c>
      <c r="F22" s="3">
        <f t="shared" si="0"/>
        <v>197933.11969846688</v>
      </c>
    </row>
    <row r="23" spans="1:6" x14ac:dyDescent="0.45">
      <c r="A23" t="s">
        <v>23</v>
      </c>
      <c r="B23" s="1">
        <v>209416191</v>
      </c>
      <c r="C23" s="3">
        <v>16566</v>
      </c>
      <c r="D23" s="3">
        <v>15222</v>
      </c>
      <c r="E23" s="3">
        <f t="shared" si="1"/>
        <v>68059</v>
      </c>
      <c r="F23" s="3">
        <f t="shared" si="0"/>
        <v>194996.384018846</v>
      </c>
    </row>
    <row r="24" spans="1:6" x14ac:dyDescent="0.45">
      <c r="A24" t="s">
        <v>24</v>
      </c>
      <c r="B24" s="1">
        <v>209416191</v>
      </c>
      <c r="C24" s="3">
        <v>12544</v>
      </c>
      <c r="D24" s="3">
        <v>11834</v>
      </c>
      <c r="E24" s="3">
        <f t="shared" si="1"/>
        <v>60514</v>
      </c>
      <c r="F24" s="3">
        <f t="shared" si="0"/>
        <v>173379.14430885622</v>
      </c>
    </row>
    <row r="25" spans="1:6" x14ac:dyDescent="0.45">
      <c r="A25" t="s">
        <v>25</v>
      </c>
      <c r="B25" s="1">
        <v>209416191</v>
      </c>
      <c r="C25" s="3">
        <v>-3138</v>
      </c>
      <c r="D25" s="3">
        <v>-1888</v>
      </c>
      <c r="E25" s="3">
        <f t="shared" si="1"/>
        <v>22834</v>
      </c>
      <c r="F25" s="3">
        <f t="shared" si="0"/>
        <v>65421.875618012738</v>
      </c>
    </row>
    <row r="26" spans="1:6" x14ac:dyDescent="0.45">
      <c r="A26" t="s">
        <v>26</v>
      </c>
      <c r="B26" s="1">
        <v>209416191</v>
      </c>
      <c r="C26" s="3">
        <v>5903</v>
      </c>
      <c r="D26" s="3">
        <v>3773</v>
      </c>
      <c r="F26" s="2"/>
    </row>
    <row r="27" spans="1:6" x14ac:dyDescent="0.45">
      <c r="A27" t="s">
        <v>27</v>
      </c>
      <c r="B27" s="1">
        <v>209416191</v>
      </c>
      <c r="C27" s="3">
        <v>8638</v>
      </c>
      <c r="D27" s="3">
        <v>5527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현대자동차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2026-01-10T06:30:07Z</dcterms:modified>
</cp:coreProperties>
</file>