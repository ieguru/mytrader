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oogleDriver\내 드라이브\Colab Notebooks\FIN\"/>
    </mc:Choice>
  </mc:AlternateContent>
  <xr:revisionPtr revIDLastSave="0" documentId="13_ncr:1_{A4840CE6-CA7B-40D8-BA37-2D5CF870ED77}" xr6:coauthVersionLast="47" xr6:coauthVersionMax="47" xr10:uidLastSave="{00000000-0000-0000-0000-000000000000}"/>
  <bookViews>
    <workbookView xWindow="-120" yWindow="-120" windowWidth="29040" windowHeight="15720" xr2:uid="{3B404238-6CFC-4173-9FBB-C15716A9B1DE}"/>
  </bookViews>
  <sheets>
    <sheet name="주성엔지니어링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F2" i="1" s="1"/>
  <c r="E4" i="1"/>
  <c r="F4" i="1" s="1"/>
  <c r="E5" i="1"/>
  <c r="F5" i="1" s="1"/>
  <c r="E6" i="1"/>
  <c r="F6" i="1" s="1"/>
  <c r="E7" i="1"/>
  <c r="F7" i="1" s="1"/>
  <c r="E8" i="1"/>
  <c r="F8" i="1" s="1"/>
  <c r="E9" i="1"/>
  <c r="F9" i="1" s="1"/>
  <c r="E10" i="1"/>
  <c r="F10" i="1" s="1"/>
  <c r="E11" i="1"/>
  <c r="F11" i="1" s="1"/>
  <c r="E12" i="1"/>
  <c r="F12" i="1" s="1"/>
  <c r="E13" i="1"/>
  <c r="F13" i="1" s="1"/>
  <c r="E14" i="1"/>
  <c r="F14" i="1" s="1"/>
  <c r="E15" i="1"/>
  <c r="F15" i="1" s="1"/>
  <c r="E16" i="1"/>
  <c r="F16" i="1" s="1"/>
  <c r="E17" i="1"/>
  <c r="F17" i="1" s="1"/>
  <c r="E18" i="1"/>
  <c r="F18" i="1" s="1"/>
  <c r="E19" i="1"/>
  <c r="F19" i="1" s="1"/>
  <c r="E20" i="1"/>
  <c r="F20" i="1" s="1"/>
  <c r="E21" i="1"/>
  <c r="F21" i="1" s="1"/>
  <c r="E22" i="1"/>
  <c r="F22" i="1" s="1"/>
  <c r="E23" i="1"/>
  <c r="E3" i="1"/>
  <c r="F3" i="1" s="1"/>
</calcChain>
</file>

<file path=xl/sharedStrings.xml><?xml version="1.0" encoding="utf-8"?>
<sst xmlns="http://schemas.openxmlformats.org/spreadsheetml/2006/main" count="28" uniqueCount="28">
  <si>
    <t>분기</t>
  </si>
  <si>
    <t>영업이익</t>
  </si>
  <si>
    <t>순이익</t>
  </si>
  <si>
    <t>2025.1Q</t>
  </si>
  <si>
    <t>2024.4Q</t>
  </si>
  <si>
    <t>2024.3Q</t>
  </si>
  <si>
    <t>2024.2Q</t>
  </si>
  <si>
    <t>2024.1Q</t>
  </si>
  <si>
    <t>2023.4Q</t>
  </si>
  <si>
    <t>2023.3Q</t>
  </si>
  <si>
    <t>2023.2Q</t>
  </si>
  <si>
    <t>2023.1Q</t>
  </si>
  <si>
    <t>2022.4Q</t>
  </si>
  <si>
    <t>2022.3Q</t>
  </si>
  <si>
    <t>2022.2Q</t>
  </si>
  <si>
    <t>2022.1Q</t>
  </si>
  <si>
    <t>2021.4Q</t>
  </si>
  <si>
    <t>2021.3Q</t>
  </si>
  <si>
    <t>2021.2Q</t>
  </si>
  <si>
    <t>2021.1Q</t>
  </si>
  <si>
    <t>2020.4Q</t>
  </si>
  <si>
    <t>2020.3Q</t>
  </si>
  <si>
    <t>2020.2Q</t>
  </si>
  <si>
    <t>2020.1Q</t>
  </si>
  <si>
    <t>상장주식수</t>
    <phoneticPr fontId="18" type="noConversion"/>
  </si>
  <si>
    <t>4Q_income</t>
  </si>
  <si>
    <t>목표가</t>
  </si>
  <si>
    <t>2025.2Q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</si>
</sst>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" fontId="0" fillId="0" borderId="0" xfId="0" applyNumberFormat="1">
      <alignment vertical="center"/>
    </xf>
    <xf numFmtId="3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39DB3-CE1B-42E2-AF4F-5D821B36F3D2}">
  <dimension ref="A1:F23"/>
  <sheetViews>
    <sheetView tabSelected="1" workbookViewId="0">
      <selection activeCell="E2" sqref="E2"/>
    </sheetView>
  </sheetViews>
  <sheetFormatPr defaultRowHeight="16.5" x14ac:dyDescent="0.3"/>
  <cols>
    <col min="2" max="2" width="10.25" bestFit="1" customWidth="1"/>
  </cols>
  <sheetData>
    <row r="1" spans="1:6" x14ac:dyDescent="0.3">
      <c r="A1" t="s">
        <v>0</v>
      </c>
      <c r="B1" t="s">
        <v>24</v>
      </c>
      <c r="C1" t="s">
        <v>1</v>
      </c>
      <c r="D1" t="s">
        <v>2</v>
      </c>
      <c r="E1" t="s">
        <v>25</v>
      </c>
      <c r="F1" t="s">
        <v>26</v>
      </c>
    </row>
    <row r="2" spans="1:6" x14ac:dyDescent="0.3">
      <c r="A2" t="s">
        <v>27</v>
      </c>
      <c r="B2" s="2">
        <v>47268321</v>
      </c>
      <c r="C2">
        <v>286</v>
      </c>
      <c r="D2">
        <v>244</v>
      </c>
      <c r="E2">
        <f>SUM(C2:C5)</f>
        <v>1301</v>
      </c>
      <c r="F2" s="1">
        <f>E2*100000000/B2*10</f>
        <v>27523.719321445751</v>
      </c>
    </row>
    <row r="3" spans="1:6" x14ac:dyDescent="0.3">
      <c r="A3" t="s">
        <v>3</v>
      </c>
      <c r="B3" s="2">
        <v>47268321</v>
      </c>
      <c r="C3">
        <v>268</v>
      </c>
      <c r="D3">
        <v>229</v>
      </c>
      <c r="E3">
        <f>SUM(C2:C5)</f>
        <v>1301</v>
      </c>
      <c r="F3" s="1">
        <f t="shared" ref="F3:F22" si="0">E3*100000000/B3*10</f>
        <v>27523.719321445751</v>
      </c>
    </row>
    <row r="4" spans="1:6" x14ac:dyDescent="0.3">
      <c r="A4" t="s">
        <v>4</v>
      </c>
      <c r="B4" s="2">
        <v>47268321</v>
      </c>
      <c r="C4">
        <v>225</v>
      </c>
      <c r="D4">
        <v>205</v>
      </c>
      <c r="E4">
        <f t="shared" ref="E4:E23" si="1">SUM(C3:C6)</f>
        <v>1376</v>
      </c>
      <c r="F4" s="1">
        <f t="shared" si="0"/>
        <v>29110.405677409188</v>
      </c>
    </row>
    <row r="5" spans="1:6" x14ac:dyDescent="0.3">
      <c r="A5" t="s">
        <v>5</v>
      </c>
      <c r="B5" s="2">
        <v>47268321</v>
      </c>
      <c r="C5">
        <v>522</v>
      </c>
      <c r="D5">
        <v>356</v>
      </c>
      <c r="E5">
        <f t="shared" si="1"/>
        <v>1178</v>
      </c>
      <c r="F5" s="1">
        <f t="shared" si="0"/>
        <v>24921.553697665717</v>
      </c>
    </row>
    <row r="6" spans="1:6" x14ac:dyDescent="0.3">
      <c r="A6" t="s">
        <v>6</v>
      </c>
      <c r="B6" s="2">
        <v>47268321</v>
      </c>
      <c r="C6">
        <v>361</v>
      </c>
      <c r="D6">
        <v>331</v>
      </c>
      <c r="E6">
        <f t="shared" si="1"/>
        <v>1152</v>
      </c>
      <c r="F6" s="1">
        <f t="shared" si="0"/>
        <v>24371.502427598389</v>
      </c>
    </row>
    <row r="7" spans="1:6" x14ac:dyDescent="0.3">
      <c r="A7" t="s">
        <v>7</v>
      </c>
      <c r="B7" s="2">
        <v>47268321</v>
      </c>
      <c r="C7">
        <v>70</v>
      </c>
      <c r="D7">
        <v>161</v>
      </c>
      <c r="E7">
        <f t="shared" si="1"/>
        <v>692</v>
      </c>
      <c r="F7" s="1">
        <f t="shared" si="0"/>
        <v>14639.826111022645</v>
      </c>
    </row>
    <row r="8" spans="1:6" x14ac:dyDescent="0.3">
      <c r="A8" t="s">
        <v>8</v>
      </c>
      <c r="B8" s="2">
        <v>47268321</v>
      </c>
      <c r="C8">
        <v>199</v>
      </c>
      <c r="D8">
        <v>270</v>
      </c>
      <c r="E8">
        <f t="shared" si="1"/>
        <v>244</v>
      </c>
      <c r="F8" s="1">
        <f t="shared" si="0"/>
        <v>5162.0196114010478</v>
      </c>
    </row>
    <row r="9" spans="1:6" x14ac:dyDescent="0.3">
      <c r="A9" t="s">
        <v>9</v>
      </c>
      <c r="B9" s="2">
        <v>47268321</v>
      </c>
      <c r="C9">
        <v>62</v>
      </c>
      <c r="D9">
        <v>40</v>
      </c>
      <c r="E9">
        <f t="shared" si="1"/>
        <v>290</v>
      </c>
      <c r="F9" s="1">
        <f t="shared" si="0"/>
        <v>6135.1872430586227</v>
      </c>
    </row>
    <row r="10" spans="1:6" x14ac:dyDescent="0.3">
      <c r="A10" t="s">
        <v>10</v>
      </c>
      <c r="B10" s="2">
        <v>47268321</v>
      </c>
      <c r="C10">
        <v>-87</v>
      </c>
      <c r="D10">
        <v>-74</v>
      </c>
      <c r="E10">
        <f t="shared" si="1"/>
        <v>371</v>
      </c>
      <c r="F10" s="1">
        <f t="shared" si="0"/>
        <v>7848.8085074991341</v>
      </c>
    </row>
    <row r="11" spans="1:6" x14ac:dyDescent="0.3">
      <c r="A11" t="s">
        <v>11</v>
      </c>
      <c r="B11" s="2">
        <v>47268321</v>
      </c>
      <c r="C11">
        <v>116</v>
      </c>
      <c r="D11">
        <v>104</v>
      </c>
      <c r="E11">
        <f t="shared" si="1"/>
        <v>615</v>
      </c>
      <c r="F11" s="1">
        <f t="shared" si="0"/>
        <v>13010.828118900183</v>
      </c>
    </row>
    <row r="12" spans="1:6" x14ac:dyDescent="0.3">
      <c r="A12" t="s">
        <v>12</v>
      </c>
      <c r="B12" s="2">
        <v>47268321</v>
      </c>
      <c r="C12">
        <v>280</v>
      </c>
      <c r="D12">
        <v>214</v>
      </c>
      <c r="E12">
        <f t="shared" si="1"/>
        <v>1048</v>
      </c>
      <c r="F12" s="1">
        <f t="shared" si="0"/>
        <v>22171.297347329091</v>
      </c>
    </row>
    <row r="13" spans="1:6" x14ac:dyDescent="0.3">
      <c r="A13" t="s">
        <v>13</v>
      </c>
      <c r="B13" s="2">
        <v>47268321</v>
      </c>
      <c r="C13">
        <v>306</v>
      </c>
      <c r="D13">
        <v>313</v>
      </c>
      <c r="E13">
        <f t="shared" si="1"/>
        <v>1238</v>
      </c>
      <c r="F13" s="1">
        <f t="shared" si="0"/>
        <v>26190.902782436464</v>
      </c>
    </row>
    <row r="14" spans="1:6" x14ac:dyDescent="0.3">
      <c r="A14" t="s">
        <v>14</v>
      </c>
      <c r="B14" s="2">
        <v>47268321</v>
      </c>
      <c r="C14">
        <v>346</v>
      </c>
      <c r="D14">
        <v>288</v>
      </c>
      <c r="E14">
        <f t="shared" si="1"/>
        <v>1465</v>
      </c>
      <c r="F14" s="1">
        <f t="shared" si="0"/>
        <v>30993.273486485799</v>
      </c>
    </row>
    <row r="15" spans="1:6" x14ac:dyDescent="0.3">
      <c r="A15" t="s">
        <v>15</v>
      </c>
      <c r="B15" s="2">
        <v>47268321</v>
      </c>
      <c r="C15">
        <v>306</v>
      </c>
      <c r="D15">
        <v>246</v>
      </c>
      <c r="E15">
        <f t="shared" si="1"/>
        <v>1397</v>
      </c>
      <c r="F15" s="1">
        <f t="shared" si="0"/>
        <v>29554.67785707895</v>
      </c>
    </row>
    <row r="16" spans="1:6" x14ac:dyDescent="0.3">
      <c r="A16" t="s">
        <v>16</v>
      </c>
      <c r="B16" s="2">
        <v>47268321</v>
      </c>
      <c r="C16">
        <v>507</v>
      </c>
      <c r="D16">
        <v>922</v>
      </c>
      <c r="E16">
        <f t="shared" si="1"/>
        <v>1172</v>
      </c>
      <c r="F16" s="1">
        <f t="shared" si="0"/>
        <v>24794.61878918864</v>
      </c>
    </row>
    <row r="17" spans="1:6" x14ac:dyDescent="0.3">
      <c r="A17" t="s">
        <v>17</v>
      </c>
      <c r="B17" s="2">
        <v>47268321</v>
      </c>
      <c r="C17">
        <v>238</v>
      </c>
      <c r="D17">
        <v>263</v>
      </c>
      <c r="E17">
        <f t="shared" si="1"/>
        <v>1027</v>
      </c>
      <c r="F17" s="1">
        <f t="shared" si="0"/>
        <v>21727.025167659333</v>
      </c>
    </row>
    <row r="18" spans="1:6" x14ac:dyDescent="0.3">
      <c r="A18" t="s">
        <v>18</v>
      </c>
      <c r="B18" s="2">
        <v>47268321</v>
      </c>
      <c r="C18">
        <v>121</v>
      </c>
      <c r="D18">
        <v>110</v>
      </c>
      <c r="E18">
        <f t="shared" si="1"/>
        <v>423</v>
      </c>
      <c r="F18" s="1">
        <f t="shared" si="0"/>
        <v>8948.9110476337846</v>
      </c>
    </row>
    <row r="19" spans="1:6" x14ac:dyDescent="0.3">
      <c r="A19" t="s">
        <v>19</v>
      </c>
      <c r="B19" s="2">
        <v>47268321</v>
      </c>
      <c r="C19">
        <v>161</v>
      </c>
      <c r="D19">
        <v>159</v>
      </c>
      <c r="E19">
        <f t="shared" si="1"/>
        <v>47</v>
      </c>
      <c r="F19" s="1">
        <f t="shared" si="0"/>
        <v>994.32344973708712</v>
      </c>
    </row>
    <row r="20" spans="1:6" x14ac:dyDescent="0.3">
      <c r="A20" t="s">
        <v>20</v>
      </c>
      <c r="B20" s="2">
        <v>47268321</v>
      </c>
      <c r="C20">
        <v>-97</v>
      </c>
      <c r="D20">
        <v>92</v>
      </c>
      <c r="E20">
        <f t="shared" si="1"/>
        <v>-65</v>
      </c>
      <c r="F20" s="1">
        <f t="shared" si="0"/>
        <v>-1375.1281751683121</v>
      </c>
    </row>
    <row r="21" spans="1:6" x14ac:dyDescent="0.3">
      <c r="A21" t="s">
        <v>21</v>
      </c>
      <c r="B21" s="2">
        <v>47268321</v>
      </c>
      <c r="C21">
        <v>-138</v>
      </c>
      <c r="D21">
        <v>-126</v>
      </c>
      <c r="E21">
        <f t="shared" si="1"/>
        <v>-250</v>
      </c>
      <c r="F21" s="1">
        <f t="shared" si="0"/>
        <v>-5288.9545198781234</v>
      </c>
    </row>
    <row r="22" spans="1:6" x14ac:dyDescent="0.3">
      <c r="A22" t="s">
        <v>22</v>
      </c>
      <c r="B22" s="2">
        <v>47268321</v>
      </c>
      <c r="C22">
        <v>9</v>
      </c>
      <c r="D22">
        <v>-36</v>
      </c>
      <c r="E22">
        <f t="shared" si="1"/>
        <v>-153</v>
      </c>
      <c r="F22" s="1">
        <f t="shared" si="0"/>
        <v>-3236.8401661654116</v>
      </c>
    </row>
    <row r="23" spans="1:6" x14ac:dyDescent="0.3">
      <c r="A23" t="s">
        <v>23</v>
      </c>
      <c r="B23" s="2">
        <v>47268321</v>
      </c>
      <c r="C23">
        <v>-24</v>
      </c>
      <c r="D23">
        <v>-12</v>
      </c>
      <c r="E23">
        <f t="shared" si="1"/>
        <v>-15</v>
      </c>
      <c r="F23" s="1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주성엔지니어링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김해중</cp:lastModifiedBy>
  <dcterms:created xsi:type="dcterms:W3CDTF">2025-01-28T10:20:59Z</dcterms:created>
  <dcterms:modified xsi:type="dcterms:W3CDTF">2025-02-15T03:37:36Z</dcterms:modified>
</cp:coreProperties>
</file>