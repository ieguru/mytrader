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836308E7-27BC-4FD4-8445-7363CD81F971}" xr6:coauthVersionLast="47" xr6:coauthVersionMax="47" xr10:uidLastSave="{00000000-0000-0000-0000-000000000000}"/>
  <bookViews>
    <workbookView xWindow="28702" yWindow="-98" windowWidth="28995" windowHeight="16395" xr2:uid="{3B404238-6CFC-4173-9FBB-C15716A9B1DE}"/>
  </bookViews>
  <sheets>
    <sheet name="파마리서치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F15" i="1" s="1"/>
  <c r="E16" i="1"/>
  <c r="F16" i="1" s="1"/>
  <c r="E17" i="1"/>
  <c r="F17" i="1" s="1"/>
  <c r="E18" i="1"/>
  <c r="F18" i="1" s="1"/>
  <c r="E19" i="1"/>
  <c r="F19" i="1" s="1"/>
  <c r="E20" i="1"/>
  <c r="E21" i="1"/>
  <c r="E22" i="1"/>
  <c r="E23" i="1"/>
  <c r="E24" i="1"/>
  <c r="E25" i="1"/>
  <c r="E26" i="1"/>
  <c r="F20" i="1"/>
  <c r="F21" i="1"/>
  <c r="F22" i="1"/>
  <c r="F23" i="1"/>
  <c r="F24" i="1"/>
  <c r="F25" i="1"/>
  <c r="F26" i="1"/>
  <c r="F12" i="1"/>
  <c r="F13" i="1"/>
  <c r="F14" i="1"/>
  <c r="E4" i="1"/>
  <c r="F4" i="1" s="1"/>
  <c r="E3" i="1"/>
  <c r="F3" i="1" s="1"/>
  <c r="E2" i="1"/>
  <c r="F2" i="1" s="1"/>
  <c r="F11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<sst xmlns="http://schemas.openxmlformats.org/spreadsheetml/2006/main" count="31" uniqueCount="30">
  <si>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</si>
  <si>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</si>
  <si>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</si>
  <si>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</si>
  <si>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</si>
  <si>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</si>
  <si>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</si>
  <si>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</si>
  <si>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</si>
  <si>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</si>
  <si>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</si>
  <si>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</si>
  <si>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</si>
  <si>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</si>
  <si>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</si>
  <si>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</si>
  <si>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</si>
  <si>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</si>
  <si>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</si>
  <si>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상장주식수</t>
    <phoneticPr fontId="18" type="noConversion"/>
  </si>
  <si>
    <t>4Q_income</t>
  </si>
  <si>
    <t>목표가</t>
  </si>
  <si>
    <t>2025.2Q</t>
    <phoneticPr fontId="18" type="noConversion"/>
  </si>
  <si>
    <t>2025.3Q</t>
    <phoneticPr fontId="18" type="noConversion"/>
  </si>
  <si>
    <t>2026.2Q</t>
    <phoneticPr fontId="18" type="noConversion"/>
  </si>
  <si>
    <t>2026.1Q</t>
    <phoneticPr fontId="18" type="noConversion"/>
  </si>
  <si>
    <t>2025.4Q</t>
    <phoneticPr fontId="18" type="noConversion"/>
  </si>
  <si>
    <t>2026.3Q</t>
    <phoneticPr fontId="18" type="noConversion"/>
  </si>
  <si>
    <t>2026.4Q</t>
    <phoneticPr fontId="18" type="noConversion"/>
  </si>
  <si>
    <t>2027.1Q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</si>
</sst>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3" fontId="0" fillId="0" borderId="0" xfId="0" applyNumberFormat="1">
      <alignment vertical="center"/>
    </xf>
    <xf numFmtId="41" fontId="0" fillId="0" borderId="0" xfId="42" applyFont="1">
      <alignment vertical="center"/>
    </xf>
    <xf numFmtId="0" fontId="0" fillId="33" borderId="0" xfId="0" applyFill="1">
      <alignment vertical="center"/>
    </xf>
    <xf numFmtId="41" fontId="0" fillId="33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39DB3-CE1B-42E2-AF4F-5D821B36F3D2}">
  <dimension ref="A1:F26"/>
  <sheetViews>
    <sheetView tabSelected="1" workbookViewId="0">
      <selection activeCell="E3" sqref="E3"/>
    </sheetView>
  </sheetViews>
  <sheetFormatPr defaultRowHeight="16.899999999999999" x14ac:dyDescent="0.6"/>
  <cols>
    <col min="2" max="2" width="10.25" bestFit="1" customWidth="1"/>
    <col min="6" max="6" width="9.0625" bestFit="1" customWidth="1"/>
  </cols>
  <sheetData>
    <row r="1" spans="1:6" x14ac:dyDescent="0.6">
      <c r="A1" t="s">
        <v>0</v>
      </c>
      <c r="B1" t="s">
        <v>19</v>
      </c>
      <c r="C1" t="s">
        <v>1</v>
      </c>
      <c r="D1" t="s">
        <v>2</v>
      </c>
      <c r="E1" t="s">
        <v>20</v>
      </c>
      <c r="F1" t="s">
        <v>21</v>
      </c>
    </row>
    <row r="2" spans="1:6" ht="19.5" customHeight="1" x14ac:dyDescent="0.6">
      <c r="A2" t="s">
        <v>29</v>
      </c>
      <c r="B2" s="1">
        <v>11349509</v>
      </c>
      <c r="C2" s="3">
        <v>686</v>
      </c>
      <c r="D2" s="3">
        <v>511</v>
      </c>
      <c r="E2" s="4">
        <f>(D2*2+D3*2)</f>
        <v>2236</v>
      </c>
      <c r="F2" s="2">
        <f>E2*100000000/B2*20</f>
        <v>394025.856096506</v>
      </c>
    </row>
    <row r="3" spans="1:6" ht="19.5" customHeight="1" x14ac:dyDescent="0.6">
      <c r="A3" t="s">
        <v>28</v>
      </c>
      <c r="B3" s="1">
        <v>11349509</v>
      </c>
      <c r="C3" s="3">
        <v>753</v>
      </c>
      <c r="D3" s="3">
        <v>607</v>
      </c>
      <c r="E3" s="4">
        <f>(D4+D2*2+D3)</f>
        <v>2220</v>
      </c>
      <c r="F3" s="2">
        <f>E3*100000000/B3*20</f>
        <v>391206.35086504626</v>
      </c>
    </row>
    <row r="4" spans="1:6" ht="19.5" customHeight="1" x14ac:dyDescent="0.6">
      <c r="A4" t="s">
        <v>27</v>
      </c>
      <c r="B4" s="1">
        <v>11349509</v>
      </c>
      <c r="C4" s="3">
        <v>735</v>
      </c>
      <c r="D4" s="3">
        <v>591</v>
      </c>
      <c r="E4" s="4">
        <f>(D5+D3*2+D4)</f>
        <v>2370</v>
      </c>
      <c r="F4" s="2">
        <f>E4*100000000/B4*20</f>
        <v>417639.21240998176</v>
      </c>
    </row>
    <row r="5" spans="1:6" ht="19.5" customHeight="1" x14ac:dyDescent="0.6">
      <c r="A5" t="s">
        <v>24</v>
      </c>
      <c r="B5" s="1">
        <v>11349509</v>
      </c>
      <c r="C5" s="3">
        <v>664</v>
      </c>
      <c r="D5" s="3">
        <v>565</v>
      </c>
      <c r="E5" s="4">
        <f t="shared" ref="E5:E26" si="0">(D6+D4*2+D5)</f>
        <v>2222</v>
      </c>
      <c r="F5" s="2">
        <f>E5*100000000/B5*20</f>
        <v>391558.78901897871</v>
      </c>
    </row>
    <row r="6" spans="1:6" ht="19.5" customHeight="1" x14ac:dyDescent="0.6">
      <c r="A6" t="s">
        <v>25</v>
      </c>
      <c r="B6" s="1">
        <v>11349509</v>
      </c>
      <c r="C6">
        <v>572</v>
      </c>
      <c r="D6">
        <v>475</v>
      </c>
      <c r="E6" s="2">
        <f t="shared" si="0"/>
        <v>1930</v>
      </c>
      <c r="F6" s="2">
        <f t="shared" ref="F6:F26" si="1">E6*100000000/B6*20</f>
        <v>340102.81854483753</v>
      </c>
    </row>
    <row r="7" spans="1:6" x14ac:dyDescent="0.6">
      <c r="A7" t="s">
        <v>26</v>
      </c>
      <c r="B7" s="1">
        <v>11349509</v>
      </c>
      <c r="C7">
        <v>519</v>
      </c>
      <c r="D7">
        <v>325</v>
      </c>
      <c r="E7" s="2">
        <f t="shared" si="0"/>
        <v>1765</v>
      </c>
      <c r="F7" s="2">
        <f t="shared" si="1"/>
        <v>311026.67084540834</v>
      </c>
    </row>
    <row r="8" spans="1:6" x14ac:dyDescent="0.6">
      <c r="A8" t="s">
        <v>23</v>
      </c>
      <c r="B8" s="1">
        <v>11349509</v>
      </c>
      <c r="C8">
        <v>619</v>
      </c>
      <c r="D8">
        <v>490</v>
      </c>
      <c r="E8" s="2">
        <f t="shared" si="0"/>
        <v>1560</v>
      </c>
      <c r="F8" s="2">
        <f t="shared" si="1"/>
        <v>274901.7600673298</v>
      </c>
    </row>
    <row r="9" spans="1:6" x14ac:dyDescent="0.6">
      <c r="A9" t="s">
        <v>23</v>
      </c>
      <c r="B9" s="1">
        <v>11349509</v>
      </c>
      <c r="C9">
        <v>559</v>
      </c>
      <c r="D9">
        <v>420</v>
      </c>
      <c r="E9" s="2">
        <f t="shared" si="0"/>
        <v>1760</v>
      </c>
      <c r="F9" s="2">
        <f t="shared" si="1"/>
        <v>310145.57546057721</v>
      </c>
    </row>
    <row r="10" spans="1:6" x14ac:dyDescent="0.6">
      <c r="A10" t="s">
        <v>22</v>
      </c>
      <c r="B10" s="1">
        <v>11349509</v>
      </c>
      <c r="C10">
        <v>447</v>
      </c>
      <c r="D10">
        <v>360</v>
      </c>
      <c r="E10" s="2">
        <f t="shared" si="0"/>
        <v>1364</v>
      </c>
      <c r="F10" s="2">
        <f t="shared" si="1"/>
        <v>240362.82098194733</v>
      </c>
    </row>
    <row r="11" spans="1:6" x14ac:dyDescent="0.6">
      <c r="A11" t="s">
        <v>3</v>
      </c>
      <c r="B11" s="1">
        <v>11349509</v>
      </c>
      <c r="C11">
        <v>337</v>
      </c>
      <c r="D11">
        <v>164</v>
      </c>
      <c r="E11" s="2">
        <f t="shared" si="0"/>
        <v>1139</v>
      </c>
      <c r="F11" s="2">
        <f t="shared" si="1"/>
        <v>200713.52866454399</v>
      </c>
    </row>
    <row r="12" spans="1:6" x14ac:dyDescent="0.6">
      <c r="A12" t="s">
        <v>4</v>
      </c>
      <c r="B12" s="1">
        <v>11349509</v>
      </c>
      <c r="C12">
        <v>349</v>
      </c>
      <c r="D12">
        <v>255</v>
      </c>
      <c r="E12" s="2">
        <f t="shared" si="0"/>
        <v>870</v>
      </c>
      <c r="F12" s="2">
        <f t="shared" si="1"/>
        <v>153310.59696062622</v>
      </c>
    </row>
    <row r="13" spans="1:6" x14ac:dyDescent="0.6">
      <c r="A13" t="s">
        <v>5</v>
      </c>
      <c r="B13" s="1">
        <v>11349509</v>
      </c>
      <c r="C13">
        <v>308</v>
      </c>
      <c r="D13">
        <v>287</v>
      </c>
      <c r="E13" s="2">
        <f t="shared" si="0"/>
        <v>980</v>
      </c>
      <c r="F13" s="2">
        <f t="shared" si="1"/>
        <v>172694.69542691228</v>
      </c>
    </row>
    <row r="14" spans="1:6" x14ac:dyDescent="0.6">
      <c r="A14" t="s">
        <v>6</v>
      </c>
      <c r="B14" s="1">
        <v>11349509</v>
      </c>
      <c r="C14">
        <v>267</v>
      </c>
      <c r="D14">
        <v>183</v>
      </c>
      <c r="E14" s="2">
        <f t="shared" si="0"/>
        <v>913</v>
      </c>
      <c r="F14" s="2">
        <f t="shared" si="1"/>
        <v>160888.01727017443</v>
      </c>
    </row>
    <row r="15" spans="1:6" x14ac:dyDescent="0.6">
      <c r="A15" t="s">
        <v>7</v>
      </c>
      <c r="B15" s="1">
        <v>11349509</v>
      </c>
      <c r="C15">
        <v>204</v>
      </c>
      <c r="D15">
        <v>156</v>
      </c>
      <c r="E15" s="2">
        <f t="shared" si="0"/>
        <v>804</v>
      </c>
      <c r="F15" s="2">
        <f t="shared" si="1"/>
        <v>141680.13788085457</v>
      </c>
    </row>
    <row r="16" spans="1:6" x14ac:dyDescent="0.6">
      <c r="A16" t="s">
        <v>8</v>
      </c>
      <c r="B16" s="1">
        <v>11349509</v>
      </c>
      <c r="C16">
        <v>275</v>
      </c>
      <c r="D16">
        <v>282</v>
      </c>
      <c r="E16" s="2">
        <f t="shared" si="0"/>
        <v>746</v>
      </c>
      <c r="F16" s="2">
        <f t="shared" si="1"/>
        <v>131459.43141681285</v>
      </c>
    </row>
    <row r="17" spans="1:6" x14ac:dyDescent="0.6">
      <c r="A17" t="s">
        <v>9</v>
      </c>
      <c r="B17" s="1">
        <v>11349509</v>
      </c>
      <c r="C17">
        <v>236</v>
      </c>
      <c r="D17">
        <v>152</v>
      </c>
      <c r="E17" s="2">
        <f t="shared" si="0"/>
        <v>899</v>
      </c>
      <c r="F17" s="2">
        <f t="shared" si="1"/>
        <v>158420.95019264711</v>
      </c>
    </row>
    <row r="18" spans="1:6" x14ac:dyDescent="0.6">
      <c r="A18" t="s">
        <v>10</v>
      </c>
      <c r="B18" s="1">
        <v>11349509</v>
      </c>
      <c r="C18">
        <v>207</v>
      </c>
      <c r="D18">
        <v>183</v>
      </c>
      <c r="E18" s="2">
        <f t="shared" si="0"/>
        <v>559</v>
      </c>
      <c r="F18" s="2">
        <f t="shared" si="1"/>
        <v>98506.464024126501</v>
      </c>
    </row>
    <row r="19" spans="1:6" x14ac:dyDescent="0.6">
      <c r="A19" t="s">
        <v>11</v>
      </c>
      <c r="B19" s="1">
        <v>11349509</v>
      </c>
      <c r="C19">
        <v>168</v>
      </c>
      <c r="D19">
        <v>72</v>
      </c>
      <c r="E19" s="2">
        <f t="shared" si="0"/>
        <v>604</v>
      </c>
      <c r="F19" s="2">
        <f t="shared" si="1"/>
        <v>106436.32248760718</v>
      </c>
    </row>
    <row r="20" spans="1:6" x14ac:dyDescent="0.6">
      <c r="A20" t="s">
        <v>12</v>
      </c>
      <c r="B20" s="1">
        <v>11349509</v>
      </c>
      <c r="C20">
        <v>165</v>
      </c>
      <c r="D20">
        <v>166</v>
      </c>
      <c r="E20" s="2">
        <f t="shared" si="0"/>
        <v>408</v>
      </c>
      <c r="F20" s="2">
        <f t="shared" si="1"/>
        <v>71897.383402224717</v>
      </c>
    </row>
    <row r="21" spans="1:6" x14ac:dyDescent="0.6">
      <c r="A21" t="s">
        <v>13</v>
      </c>
      <c r="B21" s="1">
        <v>11349509</v>
      </c>
      <c r="C21">
        <v>174</v>
      </c>
      <c r="D21">
        <v>98</v>
      </c>
      <c r="E21" s="2">
        <f t="shared" si="0"/>
        <v>529</v>
      </c>
      <c r="F21" s="2">
        <f t="shared" si="1"/>
        <v>93219.891715139398</v>
      </c>
    </row>
    <row r="22" spans="1:6" x14ac:dyDescent="0.6">
      <c r="A22" t="s">
        <v>14</v>
      </c>
      <c r="B22" s="1">
        <v>11349509</v>
      </c>
      <c r="C22">
        <v>152</v>
      </c>
      <c r="D22">
        <v>99</v>
      </c>
      <c r="E22" s="2">
        <f t="shared" si="0"/>
        <v>389</v>
      </c>
      <c r="F22" s="2">
        <f t="shared" si="1"/>
        <v>68549.220939866209</v>
      </c>
    </row>
    <row r="23" spans="1:6" x14ac:dyDescent="0.6">
      <c r="A23" t="s">
        <v>15</v>
      </c>
      <c r="B23" s="1">
        <v>11349509</v>
      </c>
      <c r="C23">
        <v>126</v>
      </c>
      <c r="D23">
        <v>94</v>
      </c>
      <c r="E23" s="2">
        <f t="shared" si="0"/>
        <v>425</v>
      </c>
      <c r="F23" s="2">
        <f t="shared" si="1"/>
        <v>74893.107710650744</v>
      </c>
    </row>
    <row r="24" spans="1:6" x14ac:dyDescent="0.6">
      <c r="A24" t="s">
        <v>16</v>
      </c>
      <c r="B24" s="1">
        <v>11349509</v>
      </c>
      <c r="C24">
        <v>137</v>
      </c>
      <c r="D24">
        <v>133</v>
      </c>
      <c r="E24" s="2">
        <f t="shared" si="0"/>
        <v>439</v>
      </c>
      <c r="F24" s="2">
        <f t="shared" si="1"/>
        <v>77360.174788178061</v>
      </c>
    </row>
    <row r="25" spans="1:6" x14ac:dyDescent="0.6">
      <c r="A25" t="s">
        <v>17</v>
      </c>
      <c r="B25" s="1">
        <v>11349509</v>
      </c>
      <c r="C25">
        <v>139</v>
      </c>
      <c r="D25">
        <v>118</v>
      </c>
      <c r="E25" s="2">
        <f t="shared" si="0"/>
        <v>507</v>
      </c>
      <c r="F25" s="2">
        <f t="shared" si="1"/>
        <v>89343.072021882181</v>
      </c>
    </row>
    <row r="26" spans="1:6" x14ac:dyDescent="0.6">
      <c r="A26" t="s">
        <v>18</v>
      </c>
      <c r="B26" s="1">
        <v>11349509</v>
      </c>
      <c r="C26">
        <v>123</v>
      </c>
      <c r="D26">
        <v>123</v>
      </c>
      <c r="E26" s="2">
        <f t="shared" si="0"/>
        <v>359</v>
      </c>
      <c r="F26" s="2">
        <f t="shared" si="1"/>
        <v>63262.648630879092</v>
      </c>
    </row>
  </sheetData>
  <phoneticPr fontId="18" type="noConversion"/>
  <conditionalFormatting sqref="F2:F2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파마리서치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2025-01-28T10:20:59Z</dcterms:created>
  <dcterms:modified xsi:type="dcterms:W3CDTF">2026-10-06T09:18:46Z</dcterms:modified>
</cp:coreProperties>
</file>