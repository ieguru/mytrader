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1C0FA01A-2468-42A5-8F42-1CB881ABF101}" xr6:coauthVersionLast="47" xr6:coauthVersionMax="47" xr10:uidLastSave="{00000000-0000-0000-0000-000000000000}"/>
  <bookViews>
    <workbookView xWindow="8250" yWindow="3803" windowWidth="13635" windowHeight="7259" xr2:uid="{D3AF1327-C308-42CF-AFA5-FE59593F7F78}"/>
  </bookViews>
  <sheets>
    <sheet name="피에스케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5" i="1"/>
  <c r="E4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<sst xmlns="http://schemas.openxmlformats.org/spreadsheetml/2006/main" count="33" uniqueCount="33">
  <si>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</si>
  <si>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</si>
  <si>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</si>
  <si>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</si>
  <si>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</si>
  <si>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</si>
  <si>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</si>
  <si>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</si>
  <si>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</si>
  <si>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</si>
  <si>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</si>
  <si>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</si>
  <si>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</si>
  <si>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</si>
  <si>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</si>
  <si>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</si>
  <si>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</si>
  <si>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</si>
  <si>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</si>
  <si>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</si>
  <si>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</si>
  <si>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</si>
  <si>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</si>
  <si>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</si>
  <si>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</si>
  <si>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</si>
  <si>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</si>
  <si>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</si>
  <si>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2026.2Q</t>
    <phoneticPr fontId="18" type="noConversion"/>
  </si>
  <si>
    <t>2026.1Q</t>
    <phoneticPr fontId="18" type="noConversion"/>
  </si>
  <si>
    <t>2025.4Q</t>
  </si>
  <si>
    <t>2025.3Q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</si>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</sst>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14" fillId="0" borderId="0" xfId="42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F2" sqref="F2:F26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32</v>
      </c>
      <c r="B2" s="1">
        <v>28966714</v>
      </c>
      <c r="C2" s="3">
        <v>414</v>
      </c>
      <c r="D2" s="3">
        <v>357</v>
      </c>
      <c r="E2" s="4">
        <f>(C2*2+C3*2)</f>
        <v>1578</v>
      </c>
      <c r="F2" s="4">
        <f>E2*100000000/B2*25</f>
        <v>136190.80162147491</v>
      </c>
    </row>
    <row r="3" spans="1:6" x14ac:dyDescent="0.6">
      <c r="A3" t="s">
        <v>28</v>
      </c>
      <c r="B3" s="1">
        <v>28966714</v>
      </c>
      <c r="C3" s="3">
        <v>375</v>
      </c>
      <c r="D3" s="3">
        <v>321</v>
      </c>
      <c r="E3" s="4">
        <f>(C3*2+C2*2)</f>
        <v>1578</v>
      </c>
      <c r="F3" s="4">
        <f t="shared" ref="F3:F26" si="0">E3*100000000/B3*25</f>
        <v>136190.80162147491</v>
      </c>
    </row>
    <row r="4" spans="1:6" x14ac:dyDescent="0.6">
      <c r="A4" t="s">
        <v>29</v>
      </c>
      <c r="B4" s="1">
        <v>28966714</v>
      </c>
      <c r="C4" s="3">
        <v>322</v>
      </c>
      <c r="D4" s="3">
        <v>284</v>
      </c>
      <c r="E4" s="4">
        <f>(C3+C4*2+C2)</f>
        <v>1433</v>
      </c>
      <c r="F4" s="4">
        <f t="shared" si="0"/>
        <v>123676.43772089577</v>
      </c>
    </row>
    <row r="5" spans="1:6" x14ac:dyDescent="0.6">
      <c r="A5" t="s">
        <v>30</v>
      </c>
      <c r="B5" s="1">
        <v>28966714</v>
      </c>
      <c r="C5" s="4">
        <v>219</v>
      </c>
      <c r="D5" s="4">
        <v>193.6</v>
      </c>
      <c r="E5" s="4">
        <f>(C4+C5*2+C3)</f>
        <v>1135</v>
      </c>
      <c r="F5" s="4">
        <f t="shared" si="0"/>
        <v>97957.262256257294</v>
      </c>
    </row>
    <row r="6" spans="1:6" x14ac:dyDescent="0.6">
      <c r="A6" t="s">
        <v>31</v>
      </c>
      <c r="B6" s="1">
        <v>28966714</v>
      </c>
      <c r="C6" s="4">
        <v>234</v>
      </c>
      <c r="D6" s="4">
        <v>206.1</v>
      </c>
      <c r="E6" s="4">
        <f t="shared" ref="E6:E26" si="1">(C5+C6*2+C4)</f>
        <v>1009</v>
      </c>
      <c r="F6" s="4">
        <f t="shared" si="0"/>
        <v>87082.711556443712</v>
      </c>
    </row>
    <row r="7" spans="1:6" x14ac:dyDescent="0.6">
      <c r="A7" t="s">
        <v>6</v>
      </c>
      <c r="B7" s="1">
        <v>28966714</v>
      </c>
      <c r="C7" s="4">
        <v>205.6</v>
      </c>
      <c r="D7" s="4">
        <v>186.2</v>
      </c>
      <c r="E7" s="4">
        <f t="shared" si="1"/>
        <v>864.2</v>
      </c>
      <c r="F7" s="4">
        <f t="shared" si="0"/>
        <v>74585.608847451585</v>
      </c>
    </row>
    <row r="8" spans="1:6" x14ac:dyDescent="0.6">
      <c r="A8" t="s">
        <v>7</v>
      </c>
      <c r="B8" s="1">
        <v>28966714</v>
      </c>
      <c r="C8" s="4">
        <v>226.3</v>
      </c>
      <c r="D8" s="4">
        <v>199.6</v>
      </c>
      <c r="E8" s="4">
        <f t="shared" si="1"/>
        <v>892.2</v>
      </c>
      <c r="F8" s="4">
        <f t="shared" si="0"/>
        <v>77002.175669632386</v>
      </c>
    </row>
    <row r="9" spans="1:6" x14ac:dyDescent="0.6">
      <c r="A9" t="s">
        <v>8</v>
      </c>
      <c r="B9" s="1">
        <v>28966714</v>
      </c>
      <c r="C9" s="4">
        <v>106.7</v>
      </c>
      <c r="D9" s="4">
        <v>153.80000000000001</v>
      </c>
      <c r="E9" s="4">
        <f t="shared" si="1"/>
        <v>645.30000000000007</v>
      </c>
      <c r="F9" s="4">
        <f t="shared" si="0"/>
        <v>55693.234655473876</v>
      </c>
    </row>
    <row r="10" spans="1:6" x14ac:dyDescent="0.6">
      <c r="A10" t="s">
        <v>9</v>
      </c>
      <c r="B10" s="1">
        <v>28966714</v>
      </c>
      <c r="C10" s="4">
        <v>291</v>
      </c>
      <c r="D10" s="4">
        <v>234</v>
      </c>
      <c r="E10" s="4">
        <f t="shared" si="1"/>
        <v>915</v>
      </c>
      <c r="F10" s="4">
        <f t="shared" si="0"/>
        <v>78969.951510551036</v>
      </c>
    </row>
    <row r="11" spans="1:6" x14ac:dyDescent="0.6">
      <c r="A11" t="s">
        <v>10</v>
      </c>
      <c r="B11" s="1">
        <v>28966714</v>
      </c>
      <c r="C11" s="4">
        <v>228</v>
      </c>
      <c r="D11" s="4">
        <v>197</v>
      </c>
      <c r="E11" s="4">
        <f t="shared" si="1"/>
        <v>853.7</v>
      </c>
      <c r="F11" s="4">
        <f t="shared" si="0"/>
        <v>73679.396289133801</v>
      </c>
    </row>
    <row r="12" spans="1:6" x14ac:dyDescent="0.6">
      <c r="A12" t="s">
        <v>11</v>
      </c>
      <c r="B12" s="1">
        <v>28966714</v>
      </c>
      <c r="C12" s="4">
        <v>213</v>
      </c>
      <c r="D12" s="4">
        <v>206</v>
      </c>
      <c r="E12" s="4">
        <f t="shared" si="1"/>
        <v>945</v>
      </c>
      <c r="F12" s="4">
        <f t="shared" si="0"/>
        <v>81559.130248601898</v>
      </c>
    </row>
    <row r="13" spans="1:6" x14ac:dyDescent="0.6">
      <c r="A13" t="s">
        <v>12</v>
      </c>
      <c r="B13" s="1">
        <v>28966714</v>
      </c>
      <c r="C13" s="4">
        <v>159</v>
      </c>
      <c r="D13" s="4">
        <v>190</v>
      </c>
      <c r="E13" s="4">
        <f t="shared" si="1"/>
        <v>759</v>
      </c>
      <c r="F13" s="4">
        <f t="shared" si="0"/>
        <v>65506.2220726866</v>
      </c>
    </row>
    <row r="14" spans="1:6" x14ac:dyDescent="0.6">
      <c r="A14" t="s">
        <v>13</v>
      </c>
      <c r="B14" s="1">
        <v>28966714</v>
      </c>
      <c r="C14" s="4">
        <v>255</v>
      </c>
      <c r="D14" s="4">
        <v>200</v>
      </c>
      <c r="E14" s="4">
        <f t="shared" si="1"/>
        <v>882</v>
      </c>
      <c r="F14" s="4">
        <f t="shared" si="0"/>
        <v>76121.854898695106</v>
      </c>
    </row>
    <row r="15" spans="1:6" x14ac:dyDescent="0.6">
      <c r="A15" t="s">
        <v>14</v>
      </c>
      <c r="B15" s="1">
        <v>28966714</v>
      </c>
      <c r="C15" s="4">
        <v>15</v>
      </c>
      <c r="D15" s="4">
        <v>25</v>
      </c>
      <c r="E15" s="4">
        <f t="shared" si="1"/>
        <v>444</v>
      </c>
      <c r="F15" s="4">
        <f t="shared" si="0"/>
        <v>38319.845323152636</v>
      </c>
    </row>
    <row r="16" spans="1:6" x14ac:dyDescent="0.6">
      <c r="A16" t="s">
        <v>15</v>
      </c>
      <c r="B16" s="1">
        <v>28966714</v>
      </c>
      <c r="C16" s="4">
        <v>113</v>
      </c>
      <c r="D16" s="4">
        <v>110</v>
      </c>
      <c r="E16" s="4">
        <f t="shared" si="1"/>
        <v>496</v>
      </c>
      <c r="F16" s="4">
        <f t="shared" si="0"/>
        <v>42807.755135774118</v>
      </c>
    </row>
    <row r="17" spans="1:6" x14ac:dyDescent="0.6">
      <c r="A17" t="s">
        <v>16</v>
      </c>
      <c r="B17" s="1">
        <v>28966714</v>
      </c>
      <c r="C17" s="2">
        <v>0</v>
      </c>
      <c r="D17" s="2">
        <v>1</v>
      </c>
      <c r="E17" s="4">
        <f t="shared" si="1"/>
        <v>128</v>
      </c>
      <c r="F17" s="4">
        <f t="shared" si="0"/>
        <v>11047.162615683643</v>
      </c>
    </row>
    <row r="18" spans="1:6" x14ac:dyDescent="0.6">
      <c r="A18" t="s">
        <v>17</v>
      </c>
      <c r="B18" s="1">
        <v>28966714</v>
      </c>
      <c r="C18" s="2">
        <v>453</v>
      </c>
      <c r="D18" s="2">
        <v>387</v>
      </c>
      <c r="E18" s="4">
        <f t="shared" si="1"/>
        <v>1019</v>
      </c>
      <c r="F18" s="4">
        <f t="shared" si="0"/>
        <v>87945.771135794013</v>
      </c>
    </row>
    <row r="19" spans="1:6" x14ac:dyDescent="0.6">
      <c r="A19" t="s">
        <v>18</v>
      </c>
      <c r="B19" s="1">
        <v>28966714</v>
      </c>
      <c r="C19" s="2">
        <v>270</v>
      </c>
      <c r="D19" s="2">
        <v>227</v>
      </c>
      <c r="E19" s="4">
        <f t="shared" si="1"/>
        <v>993</v>
      </c>
      <c r="F19" s="4">
        <f t="shared" si="0"/>
        <v>85701.816229483258</v>
      </c>
    </row>
    <row r="20" spans="1:6" x14ac:dyDescent="0.6">
      <c r="A20" t="s">
        <v>19</v>
      </c>
      <c r="B20" s="1">
        <v>28966714</v>
      </c>
      <c r="C20" s="2">
        <v>195</v>
      </c>
      <c r="D20" s="2">
        <v>159</v>
      </c>
      <c r="E20" s="4">
        <f t="shared" si="1"/>
        <v>1113</v>
      </c>
      <c r="F20" s="4">
        <f t="shared" si="0"/>
        <v>96058.531181686674</v>
      </c>
    </row>
    <row r="21" spans="1:6" x14ac:dyDescent="0.6">
      <c r="A21" t="s">
        <v>20</v>
      </c>
      <c r="B21" s="1">
        <v>28966714</v>
      </c>
      <c r="C21" s="2">
        <v>137</v>
      </c>
      <c r="D21" s="2">
        <v>100</v>
      </c>
      <c r="E21" s="4">
        <f t="shared" si="1"/>
        <v>739</v>
      </c>
      <c r="F21" s="4">
        <f t="shared" si="0"/>
        <v>63780.102913986033</v>
      </c>
    </row>
    <row r="22" spans="1:6" x14ac:dyDescent="0.6">
      <c r="A22" t="s">
        <v>21</v>
      </c>
      <c r="B22" s="1">
        <v>28966714</v>
      </c>
      <c r="C22" s="2">
        <v>238</v>
      </c>
      <c r="D22" s="2">
        <v>202</v>
      </c>
      <c r="E22" s="4">
        <f t="shared" si="1"/>
        <v>808</v>
      </c>
      <c r="F22" s="4">
        <f t="shared" si="0"/>
        <v>69735.214011503005</v>
      </c>
    </row>
    <row r="23" spans="1:6" x14ac:dyDescent="0.6">
      <c r="A23" t="s">
        <v>22</v>
      </c>
      <c r="B23" s="1">
        <v>28966714</v>
      </c>
      <c r="C23" s="2">
        <v>317</v>
      </c>
      <c r="D23" s="2">
        <v>250</v>
      </c>
      <c r="E23" s="4">
        <f t="shared" si="1"/>
        <v>1009</v>
      </c>
      <c r="F23" s="4">
        <f t="shared" si="0"/>
        <v>87082.711556443712</v>
      </c>
    </row>
    <row r="24" spans="1:6" x14ac:dyDescent="0.6">
      <c r="A24" t="s">
        <v>23</v>
      </c>
      <c r="B24" s="1">
        <v>28966714</v>
      </c>
      <c r="C24" s="2">
        <v>249</v>
      </c>
      <c r="D24" s="2">
        <v>215</v>
      </c>
      <c r="E24" s="4">
        <f t="shared" si="1"/>
        <v>1053</v>
      </c>
      <c r="F24" s="4">
        <f t="shared" si="0"/>
        <v>90880.173705584966</v>
      </c>
    </row>
    <row r="25" spans="1:6" x14ac:dyDescent="0.6">
      <c r="A25" t="s">
        <v>24</v>
      </c>
      <c r="B25" s="1">
        <v>28966714</v>
      </c>
      <c r="C25" s="2">
        <v>17</v>
      </c>
      <c r="D25" s="2">
        <v>-25</v>
      </c>
      <c r="E25" s="4">
        <f t="shared" si="1"/>
        <v>600</v>
      </c>
      <c r="F25" s="4">
        <f t="shared" si="0"/>
        <v>51783.574761017073</v>
      </c>
    </row>
    <row r="26" spans="1:6" x14ac:dyDescent="0.6">
      <c r="A26" t="s">
        <v>25</v>
      </c>
      <c r="B26" s="1">
        <v>28966714</v>
      </c>
      <c r="C26" s="2">
        <v>46</v>
      </c>
      <c r="D26" s="2">
        <v>30</v>
      </c>
      <c r="E26" s="4">
        <f t="shared" si="1"/>
        <v>358</v>
      </c>
      <c r="F26" s="4">
        <f t="shared" si="0"/>
        <v>30897.532940740188</v>
      </c>
    </row>
    <row r="27" spans="1:6" x14ac:dyDescent="0.6">
      <c r="A27" t="s">
        <v>26</v>
      </c>
      <c r="B27" s="1">
        <v>28966714</v>
      </c>
      <c r="C27" s="2">
        <v>79</v>
      </c>
      <c r="D27" s="2">
        <v>61</v>
      </c>
      <c r="F27" s="2"/>
    </row>
    <row r="28" spans="1:6" x14ac:dyDescent="0.6">
      <c r="A28" t="s">
        <v>27</v>
      </c>
      <c r="B28" s="1">
        <v>28966714</v>
      </c>
      <c r="C28" s="2">
        <v>173</v>
      </c>
      <c r="D28" s="2">
        <v>157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피에스케이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2026-05-24T03:24:46Z</dcterms:modified>
</cp:coreProperties>
</file>