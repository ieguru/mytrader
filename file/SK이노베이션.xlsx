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my-web\file\"/>
    </mc:Choice>
  </mc:AlternateContent>
  <xr:revisionPtr revIDLastSave="0" documentId="13_ncr:1_{72AC1F18-A83E-43B1-A1BE-015C13C4AA3B}" xr6:coauthVersionLast="47" xr6:coauthVersionMax="47" xr10:uidLastSave="{00000000-0000-0000-0000-000000000000}"/>
  <bookViews>
    <workbookView xWindow="-98" yWindow="-98" windowWidth="28996" windowHeight="15675" xr2:uid="{574589F6-5CF4-430A-9C77-3C46C2002903}"/>
  </bookViews>
  <sheets>
    <sheet name="SK이노베이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5" i="1" s="1"/>
  <c r="E6" i="1"/>
  <c r="E7" i="1"/>
  <c r="E8" i="1"/>
  <c r="E9" i="1"/>
  <c r="E10" i="1"/>
  <c r="E11" i="1"/>
  <c r="E12" i="1"/>
  <c r="E13" i="1"/>
  <c r="E14" i="1"/>
  <c r="E15" i="1"/>
  <c r="F15" i="1" s="1"/>
  <c r="E16" i="1"/>
  <c r="E17" i="1"/>
  <c r="E18" i="1"/>
  <c r="E19" i="1"/>
  <c r="E20" i="1"/>
  <c r="E21" i="1"/>
  <c r="F21" i="1" s="1"/>
  <c r="E22" i="1"/>
  <c r="E23" i="1"/>
  <c r="E24" i="1"/>
  <c r="E25" i="1"/>
  <c r="E4" i="1"/>
  <c r="F4" i="1" s="1"/>
  <c r="E3" i="1"/>
  <c r="F3" i="1" s="1"/>
  <c r="E2" i="1"/>
  <c r="F2" i="1" s="1"/>
  <c r="F25" i="1"/>
  <c r="F24" i="1"/>
  <c r="F23" i="1"/>
  <c r="F22" i="1"/>
  <c r="F20" i="1"/>
  <c r="F17" i="1"/>
  <c r="F16" i="1"/>
</calcChain>
</file>

<file path=xl/sharedStrings.xml><?xml version="1.0" encoding="utf-8"?>
<sst xmlns="http://schemas.openxmlformats.org/spreadsheetml/2006/main" count="30" uniqueCount="30">
  <si>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</si>
  <si>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</si>
  <si>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</si>
  <si>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</si>
  <si>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</si>
  <si>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</si>
  <si>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</si>
  <si>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</si>
  <si>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</si>
  <si>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</si>
  <si>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</si>
  <si>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</si>
  <si>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</si>
  <si>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</si>
  <si>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</si>
  <si>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</si>
  <si>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</si>
  <si>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</si>
  <si>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</si>
  <si>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</si>
  <si>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2025.2Q</t>
    <phoneticPr fontId="18" type="noConversion"/>
  </si>
  <si>
    <t>4Q_income</t>
  </si>
  <si>
    <t>목표가</t>
  </si>
  <si>
    <t>상장주식수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</si>
  <si>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</si>
  <si>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</si>
  <si>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</si>
  <si>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</si>
  <si>
    <t>2026.4Q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</si>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</sst>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33" borderId="0" xfId="0" applyNumberFormat="1" applyFill="1">
      <alignment vertical="center"/>
    </xf>
    <xf numFmtId="176" fontId="0" fillId="0" borderId="0" xfId="42" applyNumberFormat="1" applyFont="1">
      <alignment vertical="center"/>
    </xf>
    <xf numFmtId="176" fontId="14" fillId="33" borderId="0" xfId="0" applyNumberFormat="1" applyFont="1" applyFill="1">
      <alignment vertical="center"/>
    </xf>
    <xf numFmtId="176" fontId="14" fillId="0" borderId="0" xfId="0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9"/>
  <sheetViews>
    <sheetView tabSelected="1" workbookViewId="0">
      <selection activeCell="H20" sqref="H20"/>
    </sheetView>
  </sheetViews>
  <sheetFormatPr defaultRowHeight="16.899999999999999" x14ac:dyDescent="0.6"/>
  <cols>
    <col min="2" max="2" width="11.4375" bestFit="1" customWidth="1"/>
    <col min="3" max="4" width="9.0625" bestFit="1" customWidth="1"/>
    <col min="5" max="5" width="12.8125" customWidth="1"/>
    <col min="6" max="6" width="9.125" bestFit="1" customWidth="1"/>
  </cols>
  <sheetData>
    <row r="1" spans="1:6" x14ac:dyDescent="0.6">
      <c r="A1" t="s">
        <v>0</v>
      </c>
      <c r="B1" t="s">
        <v>23</v>
      </c>
      <c r="C1" t="s">
        <v>1</v>
      </c>
      <c r="D1" t="s">
        <v>2</v>
      </c>
      <c r="E1" t="s">
        <v>21</v>
      </c>
      <c r="F1" t="s">
        <v>22</v>
      </c>
    </row>
    <row r="2" spans="1:6" x14ac:dyDescent="0.6">
      <c r="A2" t="s">
        <v>28</v>
      </c>
      <c r="B2" s="1">
        <v>112582792</v>
      </c>
      <c r="C2" s="2">
        <v>17583.599999999999</v>
      </c>
      <c r="D2" s="2">
        <v>8318.2999999999993</v>
      </c>
      <c r="E2" s="3">
        <f>(D2*2+D3*2)</f>
        <v>38191.800000000003</v>
      </c>
      <c r="F2" s="3">
        <f>E2*100000000/B2*10</f>
        <v>339233.01529064943</v>
      </c>
    </row>
    <row r="3" spans="1:6" x14ac:dyDescent="0.6">
      <c r="A3" t="s">
        <v>29</v>
      </c>
      <c r="B3" s="1">
        <v>112582792</v>
      </c>
      <c r="C3" s="4">
        <v>21350.400000000001</v>
      </c>
      <c r="D3" s="4">
        <v>10777.6</v>
      </c>
      <c r="E3" s="3">
        <f>(D2*2+D3*2)</f>
        <v>38191.800000000003</v>
      </c>
      <c r="F3" s="3">
        <f>E3*100000000/B3*10</f>
        <v>339233.01529064943</v>
      </c>
    </row>
    <row r="4" spans="1:6" x14ac:dyDescent="0.6">
      <c r="A4" t="s">
        <v>27</v>
      </c>
      <c r="B4" s="1">
        <v>112582792</v>
      </c>
      <c r="C4" s="2">
        <v>34873</v>
      </c>
      <c r="D4" s="2">
        <v>2150.1</v>
      </c>
      <c r="E4" s="3">
        <f>(D3*2+D4+D2)</f>
        <v>32023.599999999999</v>
      </c>
      <c r="F4" s="3">
        <f>E4*100000000/B4*10</f>
        <v>284444.89100963139</v>
      </c>
    </row>
    <row r="5" spans="1:6" x14ac:dyDescent="0.6">
      <c r="A5" t="s">
        <v>26</v>
      </c>
      <c r="B5" s="1">
        <v>112582792</v>
      </c>
      <c r="C5" s="4">
        <v>21621.7</v>
      </c>
      <c r="D5" s="4">
        <v>9643.9</v>
      </c>
      <c r="E5" s="3">
        <f t="shared" ref="E5:E25" si="0">(D4*2+D5+D3)</f>
        <v>24721.699999999997</v>
      </c>
      <c r="F5" s="3">
        <f>E5*100000000/B5*10</f>
        <v>219586.84414222022</v>
      </c>
    </row>
    <row r="6" spans="1:6" x14ac:dyDescent="0.6">
      <c r="A6" t="s">
        <v>25</v>
      </c>
      <c r="B6" s="1">
        <v>112582792</v>
      </c>
      <c r="C6" s="4">
        <v>3374.2</v>
      </c>
      <c r="D6" s="4">
        <v>-22388.400000000001</v>
      </c>
      <c r="E6" s="3">
        <f t="shared" si="0"/>
        <v>-950.50000000000227</v>
      </c>
      <c r="F6" s="3">
        <v>55727.877134189388</v>
      </c>
    </row>
    <row r="7" spans="1:6" x14ac:dyDescent="0.6">
      <c r="A7" t="s">
        <v>24</v>
      </c>
      <c r="B7" s="1">
        <v>112582792</v>
      </c>
      <c r="C7" s="4">
        <v>5734.7</v>
      </c>
      <c r="D7" s="4">
        <v>-1078.5999999999999</v>
      </c>
      <c r="E7" s="3">
        <f t="shared" si="0"/>
        <v>-36211.5</v>
      </c>
      <c r="F7" s="3">
        <v>55727.877134189388</v>
      </c>
    </row>
    <row r="8" spans="1:6" x14ac:dyDescent="0.6">
      <c r="A8" t="s">
        <v>20</v>
      </c>
      <c r="B8" s="1">
        <v>112582792</v>
      </c>
      <c r="C8" s="5">
        <v>-6910</v>
      </c>
      <c r="D8" s="5">
        <v>-10322</v>
      </c>
      <c r="E8" s="3">
        <f t="shared" si="0"/>
        <v>-34867.600000000006</v>
      </c>
      <c r="F8" s="3">
        <v>55727.877134189388</v>
      </c>
    </row>
    <row r="9" spans="1:6" x14ac:dyDescent="0.6">
      <c r="A9" t="s">
        <v>3</v>
      </c>
      <c r="B9" s="1">
        <v>112582792</v>
      </c>
      <c r="C9" s="5">
        <v>-2154</v>
      </c>
      <c r="D9" s="5">
        <v>-1256</v>
      </c>
      <c r="E9" s="3">
        <f t="shared" si="0"/>
        <v>-22978.6</v>
      </c>
      <c r="F9" s="3">
        <v>55727.877134189388</v>
      </c>
    </row>
    <row r="10" spans="1:6" x14ac:dyDescent="0.6">
      <c r="A10" t="s">
        <v>4</v>
      </c>
      <c r="B10" s="1">
        <v>112582792</v>
      </c>
      <c r="C10" s="1">
        <v>787</v>
      </c>
      <c r="D10" s="1">
        <v>-10470</v>
      </c>
      <c r="E10" s="3">
        <f t="shared" si="0"/>
        <v>-23304</v>
      </c>
      <c r="F10" s="3">
        <v>55727.877134189388</v>
      </c>
    </row>
    <row r="11" spans="1:6" x14ac:dyDescent="0.6">
      <c r="A11" t="s">
        <v>5</v>
      </c>
      <c r="B11" s="1">
        <v>112582792</v>
      </c>
      <c r="C11" s="1">
        <v>-4841</v>
      </c>
      <c r="D11" s="1">
        <v>-5881</v>
      </c>
      <c r="E11" s="3">
        <f t="shared" si="0"/>
        <v>-28077</v>
      </c>
      <c r="F11" s="3">
        <v>55727.877134189388</v>
      </c>
    </row>
    <row r="12" spans="1:6" x14ac:dyDescent="0.6">
      <c r="A12" t="s">
        <v>6</v>
      </c>
      <c r="B12" s="1">
        <v>112582792</v>
      </c>
      <c r="C12" s="1">
        <v>-1577</v>
      </c>
      <c r="D12" s="1">
        <v>-6397</v>
      </c>
      <c r="E12" s="3">
        <f t="shared" si="0"/>
        <v>-28629</v>
      </c>
      <c r="F12" s="3">
        <v>55727.877134189388</v>
      </c>
    </row>
    <row r="13" spans="1:6" x14ac:dyDescent="0.6">
      <c r="A13" t="s">
        <v>7</v>
      </c>
      <c r="B13" s="1">
        <v>112582792</v>
      </c>
      <c r="C13" s="1">
        <v>5862</v>
      </c>
      <c r="D13" s="1">
        <v>-976</v>
      </c>
      <c r="E13" s="3">
        <f t="shared" si="0"/>
        <v>-19651</v>
      </c>
      <c r="F13" s="3">
        <v>55727.877134189388</v>
      </c>
    </row>
    <row r="14" spans="1:6" x14ac:dyDescent="0.6">
      <c r="A14" t="s">
        <v>8</v>
      </c>
      <c r="B14" s="1">
        <v>112582792</v>
      </c>
      <c r="C14" s="1">
        <v>-1675</v>
      </c>
      <c r="D14" s="1">
        <v>-23</v>
      </c>
      <c r="E14" s="3">
        <f t="shared" si="0"/>
        <v>-8372</v>
      </c>
      <c r="F14" s="3">
        <v>55727.877134189388</v>
      </c>
    </row>
    <row r="15" spans="1:6" x14ac:dyDescent="0.6">
      <c r="A15" t="s">
        <v>9</v>
      </c>
      <c r="B15" s="1">
        <v>112582792</v>
      </c>
      <c r="C15" s="1">
        <v>13532</v>
      </c>
      <c r="D15" s="1">
        <v>7296</v>
      </c>
      <c r="E15" s="3">
        <f t="shared" si="0"/>
        <v>6274</v>
      </c>
      <c r="F15" s="3">
        <f t="shared" ref="F6:F25" si="1">E15*100000000/B15*10</f>
        <v>55727.877134189388</v>
      </c>
    </row>
    <row r="16" spans="1:6" x14ac:dyDescent="0.6">
      <c r="A16" t="s">
        <v>10</v>
      </c>
      <c r="B16" s="1">
        <v>112582792</v>
      </c>
      <c r="C16" s="1">
        <v>-2738</v>
      </c>
      <c r="D16" s="1">
        <v>-1204</v>
      </c>
      <c r="E16" s="3">
        <f t="shared" si="0"/>
        <v>13365</v>
      </c>
      <c r="F16" s="3">
        <f t="shared" si="1"/>
        <v>118712.63594173433</v>
      </c>
    </row>
    <row r="17" spans="1:6" x14ac:dyDescent="0.6">
      <c r="A17" t="s">
        <v>11</v>
      </c>
      <c r="B17" s="1">
        <v>112582792</v>
      </c>
      <c r="C17" s="1">
        <v>3750</v>
      </c>
      <c r="D17" s="1">
        <v>-520</v>
      </c>
      <c r="E17" s="3">
        <f t="shared" si="0"/>
        <v>4368</v>
      </c>
      <c r="F17" s="3">
        <f t="shared" si="1"/>
        <v>38798.114013729559</v>
      </c>
    </row>
    <row r="18" spans="1:6" x14ac:dyDescent="0.6">
      <c r="A18" t="s">
        <v>12</v>
      </c>
      <c r="B18" s="1">
        <v>112582792</v>
      </c>
      <c r="C18" s="1">
        <v>-7649</v>
      </c>
      <c r="D18" s="1">
        <v>-4818</v>
      </c>
      <c r="E18" s="3">
        <f t="shared" si="0"/>
        <v>-7062</v>
      </c>
      <c r="F18" s="3">
        <v>38798.114013729559</v>
      </c>
    </row>
    <row r="19" spans="1:6" x14ac:dyDescent="0.6">
      <c r="A19" t="s">
        <v>13</v>
      </c>
      <c r="B19" s="1">
        <v>112582792</v>
      </c>
      <c r="C19" s="1">
        <v>7040</v>
      </c>
      <c r="D19" s="1">
        <v>1752</v>
      </c>
      <c r="E19" s="3">
        <f t="shared" si="0"/>
        <v>-8404</v>
      </c>
      <c r="F19" s="3">
        <v>38798.114013729559</v>
      </c>
    </row>
    <row r="20" spans="1:6" x14ac:dyDescent="0.6">
      <c r="A20" t="s">
        <v>14</v>
      </c>
      <c r="B20" s="1">
        <v>112582792</v>
      </c>
      <c r="C20" s="1">
        <v>23292</v>
      </c>
      <c r="D20" s="1">
        <v>13385</v>
      </c>
      <c r="E20" s="3">
        <f t="shared" si="0"/>
        <v>12071</v>
      </c>
      <c r="F20" s="3">
        <f t="shared" si="1"/>
        <v>107218.87231220913</v>
      </c>
    </row>
    <row r="21" spans="1:6" x14ac:dyDescent="0.6">
      <c r="A21" t="s">
        <v>15</v>
      </c>
      <c r="B21" s="1">
        <v>112582792</v>
      </c>
      <c r="C21" s="1">
        <v>16491</v>
      </c>
      <c r="D21" s="1">
        <v>8633</v>
      </c>
      <c r="E21" s="3">
        <f t="shared" si="0"/>
        <v>37155</v>
      </c>
      <c r="F21" s="3">
        <f t="shared" si="1"/>
        <v>330023.79262365424</v>
      </c>
    </row>
    <row r="22" spans="1:6" x14ac:dyDescent="0.6">
      <c r="A22" t="s">
        <v>16</v>
      </c>
      <c r="B22" s="1">
        <v>112582792</v>
      </c>
      <c r="C22" s="1">
        <v>1141</v>
      </c>
      <c r="D22" s="1">
        <v>1424</v>
      </c>
      <c r="E22" s="3">
        <f t="shared" si="0"/>
        <v>32075</v>
      </c>
      <c r="F22" s="3">
        <f t="shared" si="1"/>
        <v>284901.44390805298</v>
      </c>
    </row>
    <row r="23" spans="1:6" x14ac:dyDescent="0.6">
      <c r="A23" t="s">
        <v>17</v>
      </c>
      <c r="B23" s="1">
        <v>112582792</v>
      </c>
      <c r="C23" s="1">
        <v>6185</v>
      </c>
      <c r="D23" s="1">
        <v>5110</v>
      </c>
      <c r="E23" s="3">
        <f t="shared" si="0"/>
        <v>16591</v>
      </c>
      <c r="F23" s="3">
        <f t="shared" si="1"/>
        <v>147367.103846563</v>
      </c>
    </row>
    <row r="24" spans="1:6" x14ac:dyDescent="0.6">
      <c r="A24" t="s">
        <v>18</v>
      </c>
      <c r="B24" s="1">
        <v>112582792</v>
      </c>
      <c r="C24" s="1">
        <v>5065</v>
      </c>
      <c r="D24" s="1">
        <v>2032</v>
      </c>
      <c r="E24" s="3">
        <f t="shared" si="0"/>
        <v>13676</v>
      </c>
      <c r="F24" s="3">
        <f t="shared" si="1"/>
        <v>121475.0474477485</v>
      </c>
    </row>
    <row r="25" spans="1:6" x14ac:dyDescent="0.6">
      <c r="A25" t="s">
        <v>19</v>
      </c>
      <c r="B25" s="1">
        <v>112582792</v>
      </c>
      <c r="C25" s="1">
        <v>5025</v>
      </c>
      <c r="D25" s="1">
        <v>-3681</v>
      </c>
      <c r="E25" s="3">
        <f t="shared" si="0"/>
        <v>5493</v>
      </c>
      <c r="F25" s="3">
        <f t="shared" si="1"/>
        <v>48790.760136771169</v>
      </c>
    </row>
    <row r="26" spans="1:6" x14ac:dyDescent="0.6">
      <c r="B26" s="1"/>
      <c r="C26" s="1"/>
      <c r="D26" s="1"/>
      <c r="E26" s="3"/>
      <c r="F26" s="3"/>
    </row>
    <row r="27" spans="1:6" x14ac:dyDescent="0.6">
      <c r="B27" s="1"/>
      <c r="C27" s="1"/>
      <c r="D27" s="1"/>
      <c r="E27" s="1"/>
      <c r="F27" s="1"/>
    </row>
    <row r="28" spans="1:6" x14ac:dyDescent="0.6">
      <c r="B28" s="1"/>
      <c r="C28" s="1"/>
      <c r="D28" s="1"/>
      <c r="E28" s="1"/>
      <c r="F28" s="1"/>
    </row>
    <row r="29" spans="1:6" x14ac:dyDescent="0.6">
      <c r="B29" s="1"/>
      <c r="C29" s="1"/>
      <c r="D29" s="1"/>
      <c r="E29" s="1"/>
      <c r="F29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SK이노베이션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2026-10-11T14:18:52Z</dcterms:modified>
</cp:coreProperties>
</file>