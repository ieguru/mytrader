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E9387B3A-808B-4E26-994C-F408C529DF17}" xr6:coauthVersionLast="47" xr6:coauthVersionMax="47" xr10:uidLastSave="{00000000-0000-0000-0000-000000000000}"/>
  <bookViews>
    <workbookView xWindow="-120" yWindow="-120" windowWidth="29040" windowHeight="15720" xr2:uid="{EB6E4689-50ED-4EEE-A8CD-43C5384F692E}"/>
  </bookViews>
  <sheets>
    <sheet name="HD현대에너지솔루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<sst xmlns="http://schemas.openxmlformats.org/spreadsheetml/2006/main" count="28" uniqueCount="28">
  <si>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</si>
  <si>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</si>
  <si>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</si>
  <si>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</si>
  <si>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</si>
  <si>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</si>
  <si>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</si>
  <si>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</si>
  <si>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</si>
  <si>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</si>
  <si>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</si>
  <si>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</si>
  <si>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</si>
  <si>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</si>
  <si>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</si>
  <si>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</si>
  <si>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</si>
  <si>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</si>
  <si>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</si>
  <si>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</si>
  <si>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</si>
  <si>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</si>
  <si>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</si>
  <si>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</si>
  <si>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2025.2Q</t>
    <phoneticPr fontId="18" type="noConversion"/>
  </si>
  <si>
    <t>4Q_income</t>
  </si>
  <si>
    <t>목표가</t>
  </si>
  <si>
    <t>상장주식수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</si>
</sst>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B4A4-31AA-455D-A1CB-549A6A0C35DD}">
  <dimension ref="A1:F23"/>
  <sheetViews>
    <sheetView tabSelected="1" workbookViewId="0">
      <selection activeCell="F2" sqref="F2:F21"/>
    </sheetView>
  </sheetViews>
  <sheetFormatPr defaultRowHeight="16.5" x14ac:dyDescent="0.3"/>
  <cols>
    <col min="2" max="2" width="11.375" bestFit="1" customWidth="1"/>
  </cols>
  <sheetData>
    <row r="1" spans="1:6" x14ac:dyDescent="0.3">
      <c r="A1" t="s">
        <v>0</v>
      </c>
      <c r="B1" t="s">
        <v>27</v>
      </c>
      <c r="C1" t="s">
        <v>1</v>
      </c>
      <c r="D1" t="s">
        <v>2</v>
      </c>
      <c r="E1" t="s">
        <v>25</v>
      </c>
      <c r="F1" t="s">
        <v>26</v>
      </c>
    </row>
    <row r="2" spans="1:6" x14ac:dyDescent="0.3">
      <c r="A2" t="s">
        <v>24</v>
      </c>
      <c r="B2" s="1">
        <v>11200000</v>
      </c>
      <c r="C2">
        <v>46.5</v>
      </c>
      <c r="D2">
        <v>29.5</v>
      </c>
      <c r="E2">
        <f>SUM(C2:C5)</f>
        <v>151.5</v>
      </c>
      <c r="F2" s="2">
        <f>E2*100000000/B2*15</f>
        <v>20290.178571428569</v>
      </c>
    </row>
    <row r="3" spans="1:6" x14ac:dyDescent="0.3">
      <c r="A3" t="s">
        <v>3</v>
      </c>
      <c r="B3" s="3">
        <v>11200000</v>
      </c>
      <c r="C3">
        <v>31</v>
      </c>
      <c r="D3">
        <v>32</v>
      </c>
      <c r="E3">
        <f>SUM(C2:C5)</f>
        <v>151.5</v>
      </c>
      <c r="F3" s="2">
        <f t="shared" ref="F3:F21" si="0">E3*100000000/B3*15</f>
        <v>20290.178571428569</v>
      </c>
    </row>
    <row r="4" spans="1:6" x14ac:dyDescent="0.3">
      <c r="A4" t="s">
        <v>4</v>
      </c>
      <c r="B4" s="3">
        <v>11200000</v>
      </c>
      <c r="C4">
        <v>40</v>
      </c>
      <c r="D4">
        <v>25</v>
      </c>
      <c r="E4">
        <f t="shared" ref="E4:E21" si="1">SUM(C3:C6)</f>
        <v>184</v>
      </c>
      <c r="F4" s="2">
        <f t="shared" si="0"/>
        <v>24642.857142857145</v>
      </c>
    </row>
    <row r="5" spans="1:6" x14ac:dyDescent="0.3">
      <c r="A5" t="s">
        <v>5</v>
      </c>
      <c r="B5" s="3">
        <v>11200000</v>
      </c>
      <c r="C5">
        <v>34</v>
      </c>
      <c r="D5">
        <v>7</v>
      </c>
      <c r="E5">
        <f t="shared" si="1"/>
        <v>11</v>
      </c>
      <c r="F5" s="2">
        <f t="shared" si="0"/>
        <v>1473.2142857142856</v>
      </c>
    </row>
    <row r="6" spans="1:6" x14ac:dyDescent="0.3">
      <c r="A6" t="s">
        <v>6</v>
      </c>
      <c r="B6" s="3">
        <v>11200000</v>
      </c>
      <c r="C6">
        <v>79</v>
      </c>
      <c r="D6">
        <v>103</v>
      </c>
      <c r="E6">
        <f t="shared" si="1"/>
        <v>-78</v>
      </c>
      <c r="F6" s="2">
        <f t="shared" si="0"/>
        <v>-10446.428571428572</v>
      </c>
    </row>
    <row r="7" spans="1:6" x14ac:dyDescent="0.3">
      <c r="A7" t="s">
        <v>7</v>
      </c>
      <c r="B7" s="3">
        <v>11200000</v>
      </c>
      <c r="C7">
        <v>-142</v>
      </c>
      <c r="D7">
        <v>-194</v>
      </c>
      <c r="E7">
        <f t="shared" si="1"/>
        <v>-47</v>
      </c>
      <c r="F7" s="2">
        <f t="shared" si="0"/>
        <v>-6294.6428571428578</v>
      </c>
    </row>
    <row r="8" spans="1:6" x14ac:dyDescent="0.3">
      <c r="A8" t="s">
        <v>8</v>
      </c>
      <c r="B8" s="3">
        <v>11200000</v>
      </c>
      <c r="C8">
        <v>-49</v>
      </c>
      <c r="D8">
        <v>-174</v>
      </c>
      <c r="E8">
        <f t="shared" si="1"/>
        <v>-47</v>
      </c>
      <c r="F8" s="2">
        <f t="shared" si="0"/>
        <v>-6294.6428571428578</v>
      </c>
    </row>
    <row r="9" spans="1:6" x14ac:dyDescent="0.3">
      <c r="A9" t="s">
        <v>9</v>
      </c>
      <c r="B9" s="3">
        <v>11200000</v>
      </c>
      <c r="C9">
        <v>65</v>
      </c>
      <c r="D9">
        <v>52</v>
      </c>
      <c r="E9">
        <f t="shared" si="1"/>
        <v>175</v>
      </c>
      <c r="F9" s="2">
        <f t="shared" si="0"/>
        <v>23437.5</v>
      </c>
    </row>
    <row r="10" spans="1:6" x14ac:dyDescent="0.3">
      <c r="A10" t="s">
        <v>10</v>
      </c>
      <c r="B10" s="3">
        <v>11200000</v>
      </c>
      <c r="C10" s="1">
        <v>79</v>
      </c>
      <c r="D10" s="1">
        <v>52</v>
      </c>
      <c r="E10">
        <f t="shared" si="1"/>
        <v>507</v>
      </c>
      <c r="F10" s="2">
        <f t="shared" si="0"/>
        <v>67901.785714285725</v>
      </c>
    </row>
    <row r="11" spans="1:6" x14ac:dyDescent="0.3">
      <c r="A11" t="s">
        <v>11</v>
      </c>
      <c r="B11" s="3">
        <v>11200000</v>
      </c>
      <c r="C11" s="1">
        <v>80</v>
      </c>
      <c r="D11" s="1">
        <v>41</v>
      </c>
      <c r="E11">
        <f t="shared" si="1"/>
        <v>745</v>
      </c>
      <c r="F11" s="2">
        <f t="shared" si="0"/>
        <v>99776.785714285725</v>
      </c>
    </row>
    <row r="12" spans="1:6" x14ac:dyDescent="0.3">
      <c r="A12" t="s">
        <v>12</v>
      </c>
      <c r="B12" s="3">
        <v>11200000</v>
      </c>
      <c r="C12">
        <v>283</v>
      </c>
      <c r="D12">
        <v>243</v>
      </c>
      <c r="E12">
        <f t="shared" si="1"/>
        <v>904</v>
      </c>
      <c r="F12" s="2">
        <f t="shared" si="0"/>
        <v>121071.42857142858</v>
      </c>
    </row>
    <row r="13" spans="1:6" x14ac:dyDescent="0.3">
      <c r="A13" t="s">
        <v>13</v>
      </c>
      <c r="B13" s="3">
        <v>11200000</v>
      </c>
      <c r="C13">
        <v>303</v>
      </c>
      <c r="D13">
        <v>146</v>
      </c>
      <c r="E13">
        <f t="shared" si="1"/>
        <v>901</v>
      </c>
      <c r="F13" s="2">
        <f t="shared" si="0"/>
        <v>120669.64285714286</v>
      </c>
    </row>
    <row r="14" spans="1:6" x14ac:dyDescent="0.3">
      <c r="A14" t="s">
        <v>14</v>
      </c>
      <c r="B14" s="3">
        <v>11200000</v>
      </c>
      <c r="C14">
        <v>238</v>
      </c>
      <c r="D14">
        <v>162</v>
      </c>
      <c r="E14">
        <f t="shared" si="1"/>
        <v>674</v>
      </c>
      <c r="F14" s="2">
        <f t="shared" si="0"/>
        <v>90267.857142857145</v>
      </c>
    </row>
    <row r="15" spans="1:6" x14ac:dyDescent="0.3">
      <c r="A15" t="s">
        <v>15</v>
      </c>
      <c r="B15" s="3">
        <v>11200000</v>
      </c>
      <c r="C15" s="1">
        <v>77</v>
      </c>
      <c r="D15">
        <v>56</v>
      </c>
      <c r="E15">
        <f t="shared" si="1"/>
        <v>365</v>
      </c>
      <c r="F15" s="2">
        <f t="shared" si="0"/>
        <v>48883.928571428572</v>
      </c>
    </row>
    <row r="16" spans="1:6" x14ac:dyDescent="0.3">
      <c r="A16" t="s">
        <v>16</v>
      </c>
      <c r="B16" s="3">
        <v>11200000</v>
      </c>
      <c r="C16">
        <v>56</v>
      </c>
      <c r="D16" s="1">
        <v>-11</v>
      </c>
      <c r="E16">
        <f t="shared" si="1"/>
        <v>156</v>
      </c>
      <c r="F16" s="2">
        <f t="shared" si="0"/>
        <v>20892.857142857145</v>
      </c>
    </row>
    <row r="17" spans="1:6" x14ac:dyDescent="0.3">
      <c r="A17" t="s">
        <v>17</v>
      </c>
      <c r="B17" s="3">
        <v>11200000</v>
      </c>
      <c r="C17">
        <v>-6</v>
      </c>
      <c r="D17">
        <v>-78</v>
      </c>
      <c r="E17">
        <f t="shared" si="1"/>
        <v>95</v>
      </c>
      <c r="F17" s="2">
        <f t="shared" si="0"/>
        <v>12723.214285714284</v>
      </c>
    </row>
    <row r="18" spans="1:6" x14ac:dyDescent="0.3">
      <c r="A18" t="s">
        <v>18</v>
      </c>
      <c r="B18" s="3">
        <v>11200000</v>
      </c>
      <c r="C18">
        <v>29</v>
      </c>
      <c r="D18" s="1">
        <v>26</v>
      </c>
      <c r="E18">
        <f t="shared" si="1"/>
        <v>29</v>
      </c>
      <c r="F18" s="2">
        <f t="shared" si="0"/>
        <v>3883.9285714285716</v>
      </c>
    </row>
    <row r="19" spans="1:6" x14ac:dyDescent="0.3">
      <c r="A19" t="s">
        <v>19</v>
      </c>
      <c r="B19" s="3">
        <v>11200000</v>
      </c>
      <c r="C19" s="1">
        <v>16</v>
      </c>
      <c r="D19" s="1">
        <v>-3</v>
      </c>
      <c r="E19">
        <f t="shared" si="1"/>
        <v>80</v>
      </c>
      <c r="F19" s="2">
        <f t="shared" si="0"/>
        <v>10714.285714285716</v>
      </c>
    </row>
    <row r="20" spans="1:6" x14ac:dyDescent="0.3">
      <c r="A20" t="s">
        <v>20</v>
      </c>
      <c r="B20" s="3">
        <v>11200000</v>
      </c>
      <c r="C20" s="1">
        <v>-10</v>
      </c>
      <c r="D20">
        <v>81</v>
      </c>
      <c r="E20">
        <f t="shared" si="1"/>
        <v>67</v>
      </c>
      <c r="F20" s="2">
        <f t="shared" si="0"/>
        <v>8973.2142857142844</v>
      </c>
    </row>
    <row r="21" spans="1:6" x14ac:dyDescent="0.3">
      <c r="A21" t="s">
        <v>21</v>
      </c>
      <c r="B21" s="3">
        <v>11200000</v>
      </c>
      <c r="C21" s="1">
        <v>45</v>
      </c>
      <c r="D21">
        <v>-62</v>
      </c>
      <c r="E21">
        <f t="shared" si="1"/>
        <v>87</v>
      </c>
      <c r="F21" s="2">
        <f t="shared" si="0"/>
        <v>11651.785714285716</v>
      </c>
    </row>
    <row r="22" spans="1:6" x14ac:dyDescent="0.3">
      <c r="A22" t="s">
        <v>22</v>
      </c>
      <c r="B22" s="3">
        <v>11200000</v>
      </c>
      <c r="C22" s="1">
        <v>16</v>
      </c>
      <c r="D22">
        <v>13</v>
      </c>
      <c r="F22" s="2"/>
    </row>
    <row r="23" spans="1:6" x14ac:dyDescent="0.3">
      <c r="A23" t="s">
        <v>23</v>
      </c>
      <c r="B23" s="3">
        <v>11200000</v>
      </c>
      <c r="C23" s="1">
        <v>36</v>
      </c>
      <c r="D23">
        <v>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HD현대에너지솔루션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2025-01-29T07:11:20Z</dcterms:created>
  <dcterms:modified xsi:type="dcterms:W3CDTF">2025-02-19T23:12:56Z</dcterms:modified>
</cp:coreProperties>
</file>