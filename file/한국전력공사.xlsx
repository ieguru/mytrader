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DF1BA528-B5BB-4FC3-AD7D-862855DB89A4}" xr6:coauthVersionLast="47" xr6:coauthVersionMax="47" xr10:uidLastSave="{00000000-0000-0000-0000-000000000000}"/>
  <bookViews>
    <workbookView xWindow="28702" yWindow="-98" windowWidth="28995" windowHeight="16395" xr2:uid="{C8D1CA31-9A8D-48BC-97FC-23CBA29A2F93}"/>
  </bookViews>
  <sheets>
    <sheet name="한국전력공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" i="1"/>
  <c r="E4" i="1"/>
  <c r="E3" i="1"/>
  <c r="E2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6" i="1"/>
  <c r="E5" i="1"/>
</calcChain>
</file>

<file path=xl/sharedStrings.xml><?xml version="1.0" encoding="utf-8"?>
<sst xmlns="http://schemas.openxmlformats.org/spreadsheetml/2006/main" count="28" uniqueCount="28">
  <si>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</si>
  <si>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</si>
  <si>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</si>
  <si>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</si>
  <si>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</si>
  <si>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</si>
  <si>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</si>
  <si>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</si>
  <si>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</si>
  <si>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</si>
  <si>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</si>
  <si>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</si>
  <si>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</si>
  <si>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</si>
  <si>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</si>
  <si>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</si>
  <si>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</si>
  <si>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</si>
  <si>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</si>
  <si>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</si>
  <si>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상장주식수</t>
  </si>
  <si>
    <t>4Q_income</t>
  </si>
  <si>
    <t>목표가</t>
  </si>
  <si>
    <t>2025.3Q</t>
    <phoneticPr fontId="18" type="noConversion"/>
  </si>
  <si>
    <t>2025.4Q</t>
    <phoneticPr fontId="18" type="noConversion"/>
  </si>
  <si>
    <t>2026.1Q</t>
    <phoneticPr fontId="18" type="noConversion"/>
  </si>
  <si>
    <t>2025.2Q</t>
    <phoneticPr fontId="18" type="noConversion"/>
  </si>
  <si>
    <t>2026.2Q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</si>
</sst>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34" borderId="10" xfId="0" applyFill="1" applyBorder="1">
      <alignment vertical="center"/>
    </xf>
    <xf numFmtId="0" fontId="0" fillId="33" borderId="10" xfId="0" applyFill="1" applyBorder="1">
      <alignment vertical="center"/>
    </xf>
    <xf numFmtId="176" fontId="0" fillId="0" borderId="10" xfId="0" applyNumberFormat="1" applyBorder="1">
      <alignment vertical="center"/>
    </xf>
    <xf numFmtId="176" fontId="14" fillId="34" borderId="10" xfId="42" applyNumberFormat="1" applyFont="1" applyFill="1" applyBorder="1">
      <alignment vertical="center"/>
    </xf>
    <xf numFmtId="176" fontId="0" fillId="0" borderId="10" xfId="42" applyNumberFormat="1" applyFont="1" applyBorder="1">
      <alignment vertical="center"/>
    </xf>
    <xf numFmtId="176" fontId="0" fillId="34" borderId="10" xfId="0" applyNumberFormat="1" applyFill="1" applyBorder="1">
      <alignment vertical="center"/>
    </xf>
    <xf numFmtId="176" fontId="0" fillId="34" borderId="10" xfId="42" applyNumberFormat="1" applyFont="1" applyFill="1" applyBorder="1">
      <alignment vertical="center"/>
    </xf>
    <xf numFmtId="176" fontId="19" fillId="33" borderId="10" xfId="0" applyNumberFormat="1" applyFont="1" applyFill="1" applyBorder="1">
      <alignment vertical="center"/>
    </xf>
    <xf numFmtId="176" fontId="19" fillId="33" borderId="10" xfId="42" applyNumberFormat="1" applyFont="1" applyFill="1" applyBorder="1">
      <alignment vertical="center"/>
    </xf>
    <xf numFmtId="176" fontId="0" fillId="0" borderId="0" xfId="0" applyNumberForma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58E8-FF85-482C-BAF4-EC0D5C6A9C6E}">
  <dimension ref="A1:F27"/>
  <sheetViews>
    <sheetView tabSelected="1" workbookViewId="0">
      <selection activeCell="H29" sqref="H29"/>
    </sheetView>
  </sheetViews>
  <sheetFormatPr defaultRowHeight="16.899999999999999" x14ac:dyDescent="0.6"/>
  <cols>
    <col min="2" max="2" width="11.5" bestFit="1" customWidth="1"/>
    <col min="3" max="4" width="10.0625" bestFit="1" customWidth="1"/>
    <col min="5" max="5" width="9.125" bestFit="1" customWidth="1"/>
    <col min="6" max="6" width="11.1875" customWidth="1"/>
  </cols>
  <sheetData>
    <row r="1" spans="1:6" x14ac:dyDescent="0.6">
      <c r="A1" s="1" t="s">
        <v>0</v>
      </c>
      <c r="B1" s="1" t="s">
        <v>20</v>
      </c>
      <c r="C1" s="1" t="s">
        <v>1</v>
      </c>
      <c r="D1" s="1" t="s">
        <v>2</v>
      </c>
      <c r="E1" s="1" t="s">
        <v>21</v>
      </c>
      <c r="F1" s="1" t="s">
        <v>22</v>
      </c>
    </row>
    <row r="2" spans="1:6" x14ac:dyDescent="0.6">
      <c r="A2" s="1" t="s">
        <v>27</v>
      </c>
      <c r="B2" s="4">
        <v>728002365</v>
      </c>
      <c r="C2" s="5">
        <v>32889</v>
      </c>
      <c r="D2" s="5">
        <v>19828</v>
      </c>
      <c r="E2" s="6">
        <f>(C2*2+C3*2)</f>
        <v>154750</v>
      </c>
      <c r="F2" s="6">
        <f>E2*100000000/B2*5</f>
        <v>106283.99538235017</v>
      </c>
    </row>
    <row r="3" spans="1:6" x14ac:dyDescent="0.6">
      <c r="A3" s="2" t="s">
        <v>25</v>
      </c>
      <c r="B3" s="7">
        <v>728002365</v>
      </c>
      <c r="C3" s="5">
        <v>44486</v>
      </c>
      <c r="D3" s="5">
        <v>28297</v>
      </c>
      <c r="E3" s="8">
        <f>(C2*2+C3*2)</f>
        <v>154750</v>
      </c>
      <c r="F3" s="6">
        <f t="shared" ref="F3:F23" si="0">E3*100000000/B3*5</f>
        <v>106283.99538235017</v>
      </c>
    </row>
    <row r="4" spans="1:6" x14ac:dyDescent="0.6">
      <c r="A4" s="3" t="s">
        <v>24</v>
      </c>
      <c r="B4" s="9">
        <v>728002365</v>
      </c>
      <c r="C4" s="10">
        <v>33463</v>
      </c>
      <c r="D4" s="10">
        <v>17685</v>
      </c>
      <c r="E4" s="10">
        <f>(C3*2+C4+C2)</f>
        <v>155324</v>
      </c>
      <c r="F4" s="6">
        <f t="shared" si="0"/>
        <v>106678.22487087661</v>
      </c>
    </row>
    <row r="5" spans="1:6" x14ac:dyDescent="0.6">
      <c r="A5" s="3" t="s">
        <v>23</v>
      </c>
      <c r="B5" s="9">
        <v>728002365</v>
      </c>
      <c r="C5" s="10">
        <v>56519</v>
      </c>
      <c r="D5" s="10">
        <v>37900</v>
      </c>
      <c r="E5" s="10">
        <f>(C3+C4+C5*2)</f>
        <v>190987</v>
      </c>
      <c r="F5" s="6">
        <f t="shared" si="0"/>
        <v>131171.96398118843</v>
      </c>
    </row>
    <row r="6" spans="1:6" x14ac:dyDescent="0.6">
      <c r="A6" s="3" t="s">
        <v>26</v>
      </c>
      <c r="B6" s="9">
        <v>728002365</v>
      </c>
      <c r="C6" s="10">
        <v>21359</v>
      </c>
      <c r="D6" s="10">
        <v>11764</v>
      </c>
      <c r="E6" s="10">
        <f t="shared" ref="E6:E23" si="1">(C4+C5+C6*2)</f>
        <v>132700</v>
      </c>
      <c r="F6" s="6">
        <f t="shared" si="0"/>
        <v>91139.813810907057</v>
      </c>
    </row>
    <row r="7" spans="1:6" x14ac:dyDescent="0.6">
      <c r="A7" s="3" t="s">
        <v>3</v>
      </c>
      <c r="B7" s="9">
        <v>728002365</v>
      </c>
      <c r="C7" s="10">
        <v>37536</v>
      </c>
      <c r="D7" s="10">
        <v>23617</v>
      </c>
      <c r="E7" s="10">
        <f t="shared" si="1"/>
        <v>152950</v>
      </c>
      <c r="F7" s="6">
        <f t="shared" si="0"/>
        <v>105047.73566223236</v>
      </c>
    </row>
    <row r="8" spans="1:6" x14ac:dyDescent="0.6">
      <c r="A8" s="1" t="s">
        <v>4</v>
      </c>
      <c r="B8" s="4">
        <v>728002365</v>
      </c>
      <c r="C8" s="6">
        <v>24191</v>
      </c>
      <c r="D8" s="6">
        <v>10320</v>
      </c>
      <c r="E8" s="6">
        <f t="shared" si="1"/>
        <v>107277</v>
      </c>
      <c r="F8" s="6">
        <f t="shared" si="0"/>
        <v>73679.018886154314</v>
      </c>
    </row>
    <row r="9" spans="1:6" x14ac:dyDescent="0.6">
      <c r="A9" s="1" t="s">
        <v>5</v>
      </c>
      <c r="B9" s="4">
        <v>728002365</v>
      </c>
      <c r="C9" s="6">
        <v>33961</v>
      </c>
      <c r="D9" s="6">
        <v>18796</v>
      </c>
      <c r="E9" s="6">
        <f t="shared" si="1"/>
        <v>129649</v>
      </c>
      <c r="F9" s="6">
        <f t="shared" si="0"/>
        <v>89044.353585307384</v>
      </c>
    </row>
    <row r="10" spans="1:6" x14ac:dyDescent="0.6">
      <c r="A10" s="1" t="s">
        <v>6</v>
      </c>
      <c r="B10" s="4">
        <v>728002365</v>
      </c>
      <c r="C10" s="6">
        <v>12503</v>
      </c>
      <c r="D10" s="6">
        <v>1144</v>
      </c>
      <c r="E10" s="6">
        <f t="shared" si="1"/>
        <v>83158</v>
      </c>
      <c r="F10" s="6">
        <f t="shared" si="0"/>
        <v>57113.825447531344</v>
      </c>
    </row>
    <row r="11" spans="1:6" x14ac:dyDescent="0.6">
      <c r="A11" s="1" t="s">
        <v>7</v>
      </c>
      <c r="B11" s="4">
        <v>728002365</v>
      </c>
      <c r="C11" s="6">
        <v>12993</v>
      </c>
      <c r="D11" s="6">
        <v>5959</v>
      </c>
      <c r="E11" s="6">
        <f t="shared" si="1"/>
        <v>72450</v>
      </c>
      <c r="F11" s="6">
        <f t="shared" si="0"/>
        <v>49759.453734741648</v>
      </c>
    </row>
    <row r="12" spans="1:6" x14ac:dyDescent="0.6">
      <c r="A12" s="1" t="s">
        <v>8</v>
      </c>
      <c r="B12" s="4">
        <v>728002365</v>
      </c>
      <c r="C12" s="6">
        <v>19117</v>
      </c>
      <c r="D12" s="6">
        <v>12662</v>
      </c>
      <c r="E12" s="6">
        <f t="shared" si="1"/>
        <v>63730</v>
      </c>
      <c r="F12" s="6">
        <f t="shared" si="0"/>
        <v>43770.462201726506</v>
      </c>
    </row>
    <row r="13" spans="1:6" x14ac:dyDescent="0.6">
      <c r="A13" s="1" t="s">
        <v>9</v>
      </c>
      <c r="B13" s="4">
        <v>728002365</v>
      </c>
      <c r="C13" s="6">
        <v>19966</v>
      </c>
      <c r="D13" s="6">
        <v>8333</v>
      </c>
      <c r="E13" s="6">
        <f t="shared" si="1"/>
        <v>72042</v>
      </c>
      <c r="F13" s="6">
        <f t="shared" si="0"/>
        <v>49479.234864848273</v>
      </c>
    </row>
    <row r="14" spans="1:6" x14ac:dyDescent="0.6">
      <c r="A14" s="1" t="s">
        <v>10</v>
      </c>
      <c r="B14" s="4">
        <v>728002365</v>
      </c>
      <c r="C14" s="6">
        <v>-22724</v>
      </c>
      <c r="D14" s="6">
        <v>-19044</v>
      </c>
      <c r="E14" s="6">
        <f t="shared" si="1"/>
        <v>-6365</v>
      </c>
      <c r="F14" s="6">
        <f t="shared" si="0"/>
        <v>-4371.5517325276824</v>
      </c>
    </row>
    <row r="15" spans="1:6" x14ac:dyDescent="0.6">
      <c r="A15" s="1" t="s">
        <v>11</v>
      </c>
      <c r="B15" s="4">
        <v>728002365</v>
      </c>
      <c r="C15" s="6">
        <v>-61776</v>
      </c>
      <c r="D15" s="6">
        <v>-49112</v>
      </c>
      <c r="E15" s="6">
        <f t="shared" si="1"/>
        <v>-126310</v>
      </c>
      <c r="F15" s="6">
        <f t="shared" si="0"/>
        <v>-86751.091804488839</v>
      </c>
    </row>
    <row r="16" spans="1:6" x14ac:dyDescent="0.6">
      <c r="A16" s="1" t="s">
        <v>12</v>
      </c>
      <c r="B16" s="4">
        <v>728002365</v>
      </c>
      <c r="C16" s="6">
        <v>-108209</v>
      </c>
      <c r="D16" s="6">
        <v>-77832</v>
      </c>
      <c r="E16" s="6">
        <f t="shared" si="1"/>
        <v>-300918</v>
      </c>
      <c r="F16" s="6">
        <f t="shared" si="0"/>
        <v>-206673.77914356091</v>
      </c>
    </row>
    <row r="17" spans="1:6" x14ac:dyDescent="0.6">
      <c r="A17" s="1" t="s">
        <v>13</v>
      </c>
      <c r="B17" s="4">
        <v>728002365</v>
      </c>
      <c r="C17" s="6">
        <v>-75309</v>
      </c>
      <c r="D17" s="6">
        <v>-58842</v>
      </c>
      <c r="E17" s="6">
        <f t="shared" si="1"/>
        <v>-320603</v>
      </c>
      <c r="F17" s="6">
        <f t="shared" si="0"/>
        <v>-220193.65280496032</v>
      </c>
    </row>
    <row r="18" spans="1:6" x14ac:dyDescent="0.6">
      <c r="A18" s="1" t="s">
        <v>14</v>
      </c>
      <c r="B18" s="4">
        <v>728002365</v>
      </c>
      <c r="C18" s="6">
        <v>-65163</v>
      </c>
      <c r="D18" s="6">
        <v>-48358</v>
      </c>
      <c r="E18" s="6">
        <f t="shared" si="1"/>
        <v>-313844</v>
      </c>
      <c r="F18" s="6">
        <f t="shared" si="0"/>
        <v>-215551.49755591794</v>
      </c>
    </row>
    <row r="19" spans="1:6" x14ac:dyDescent="0.6">
      <c r="A19" s="1" t="s">
        <v>15</v>
      </c>
      <c r="B19" s="4">
        <v>728002365</v>
      </c>
      <c r="C19" s="6">
        <v>-77869</v>
      </c>
      <c r="D19" s="6">
        <v>-59259</v>
      </c>
      <c r="E19" s="6">
        <f t="shared" si="1"/>
        <v>-296210</v>
      </c>
      <c r="F19" s="6">
        <f t="shared" si="0"/>
        <v>-203440.27316449719</v>
      </c>
    </row>
    <row r="20" spans="1:6" x14ac:dyDescent="0.6">
      <c r="A20" s="1" t="s">
        <v>16</v>
      </c>
      <c r="B20" s="4">
        <v>728002365</v>
      </c>
      <c r="C20" s="6">
        <v>-47303</v>
      </c>
      <c r="D20" s="6">
        <v>-36479</v>
      </c>
      <c r="E20" s="6">
        <f t="shared" si="1"/>
        <v>-237638</v>
      </c>
      <c r="F20" s="6">
        <f t="shared" si="0"/>
        <v>-163212.38187186385</v>
      </c>
    </row>
    <row r="21" spans="1:6" x14ac:dyDescent="0.6">
      <c r="A21" s="1" t="s">
        <v>17</v>
      </c>
      <c r="B21" s="4">
        <v>728002365</v>
      </c>
      <c r="C21" s="6">
        <v>-9367</v>
      </c>
      <c r="D21" s="6">
        <v>-10259</v>
      </c>
      <c r="E21" s="6">
        <f t="shared" si="1"/>
        <v>-143906</v>
      </c>
      <c r="F21" s="6">
        <f t="shared" si="0"/>
        <v>-98836.217379596026</v>
      </c>
    </row>
    <row r="22" spans="1:6" x14ac:dyDescent="0.6">
      <c r="A22" s="1" t="s">
        <v>18</v>
      </c>
      <c r="B22" s="4">
        <v>728002365</v>
      </c>
      <c r="C22" s="6">
        <v>-7648</v>
      </c>
      <c r="D22" s="6">
        <v>-6739</v>
      </c>
      <c r="E22" s="6">
        <f t="shared" si="1"/>
        <v>-71966</v>
      </c>
      <c r="F22" s="6">
        <f t="shared" si="0"/>
        <v>-49427.037232221082</v>
      </c>
    </row>
    <row r="23" spans="1:6" x14ac:dyDescent="0.6">
      <c r="A23" s="1" t="s">
        <v>19</v>
      </c>
      <c r="B23" s="4">
        <v>728002365</v>
      </c>
      <c r="C23" s="6">
        <v>5716</v>
      </c>
      <c r="D23" s="6">
        <v>1184</v>
      </c>
      <c r="E23" s="6">
        <f t="shared" si="1"/>
        <v>-5583</v>
      </c>
      <c r="F23" s="6">
        <f t="shared" si="0"/>
        <v>-3834.465565232058</v>
      </c>
    </row>
    <row r="24" spans="1:6" x14ac:dyDescent="0.6">
      <c r="A24" s="1"/>
      <c r="B24" s="4"/>
      <c r="C24" s="6"/>
      <c r="D24" s="6"/>
      <c r="E24" s="6"/>
      <c r="F24" s="6"/>
    </row>
    <row r="25" spans="1:6" x14ac:dyDescent="0.6">
      <c r="A25" s="1"/>
      <c r="B25" s="4"/>
      <c r="C25" s="6"/>
      <c r="D25" s="6"/>
      <c r="E25" s="6"/>
      <c r="F25" s="6"/>
    </row>
    <row r="26" spans="1:6" x14ac:dyDescent="0.6">
      <c r="A26" s="1"/>
      <c r="B26" s="4"/>
      <c r="C26" s="6"/>
      <c r="D26" s="6"/>
      <c r="E26" s="11"/>
      <c r="F26" s="11"/>
    </row>
    <row r="27" spans="1:6" x14ac:dyDescent="0.6">
      <c r="A27" s="1"/>
      <c r="B27" s="4"/>
      <c r="C27" s="6"/>
      <c r="D27" s="6"/>
      <c r="E27" s="11"/>
      <c r="F27" s="11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한국전력공사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2025-01-31T15:24:20Z</dcterms:created>
  <dcterms:modified xsi:type="dcterms:W3CDTF">2026-04-02T00:53:30Z</dcterms:modified>
</cp:coreProperties>
</file>