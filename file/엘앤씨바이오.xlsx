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B64E56B9-D86F-4600-86BA-948F03DD2050}" xr6:coauthVersionLast="47" xr6:coauthVersionMax="47" xr10:uidLastSave="{00000000-0000-0000-0000-000000000000}"/>
  <bookViews>
    <workbookView xWindow="28702" yWindow="-98" windowWidth="28995" windowHeight="16395" xr2:uid="{3B404238-6CFC-4173-9FBB-C15716A9B1DE}"/>
  </bookViews>
  <sheets>
    <sheet name="엘앤씨바이오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4" i="1"/>
  <c r="E3" i="1"/>
  <c r="E2" i="1"/>
</calcChain>
</file>

<file path=xl/sharedStrings.xml><?xml version="1.0" encoding="utf-8"?>
<sst xmlns="http://schemas.openxmlformats.org/spreadsheetml/2006/main" count="30" uniqueCount="30">
  <si>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</si>
  <si>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</si>
  <si>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</si>
  <si>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</si>
  <si>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</si>
  <si>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</si>
  <si>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</si>
  <si>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</si>
  <si>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</si>
  <si>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</si>
  <si>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</si>
  <si>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</si>
  <si>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</si>
  <si>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</si>
  <si>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</si>
  <si>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</si>
  <si>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</si>
  <si>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</si>
  <si>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</si>
  <si>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</si>
  <si>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상장주식수</t>
    <phoneticPr fontId="18" type="noConversion"/>
  </si>
  <si>
    <t>4Q_income</t>
  </si>
  <si>
    <t>목표가</t>
  </si>
  <si>
    <t>2025.2Q</t>
    <phoneticPr fontId="18" type="noConversion"/>
  </si>
  <si>
    <t>2025.3Q</t>
    <phoneticPr fontId="18" type="noConversion"/>
  </si>
  <si>
    <t>2026.2Q</t>
    <phoneticPr fontId="18" type="noConversion"/>
  </si>
  <si>
    <t>2026.1Q</t>
    <phoneticPr fontId="18" type="noConversion"/>
  </si>
  <si>
    <t>2025.4Q</t>
    <phoneticPr fontId="18" type="noConversion"/>
  </si>
  <si>
    <t>2026.3Q</t>
    <phoneticPr fontId="18" type="noConversion"/>
  </si>
  <si>
    <t>2026.4Q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</si>
</sst>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>
      <alignment vertical="center"/>
    </xf>
    <xf numFmtId="176" fontId="0" fillId="0" borderId="0" xfId="0" applyNumberFormat="1">
      <alignment vertical="center"/>
    </xf>
    <xf numFmtId="176" fontId="0" fillId="0" borderId="0" xfId="42" applyNumberFormat="1" applyFont="1" applyFill="1">
      <alignment vertical="center"/>
    </xf>
    <xf numFmtId="176" fontId="14" fillId="0" borderId="0" xfId="0" applyNumberFormat="1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39DB3-CE1B-42E2-AF4F-5D821B36F3D2}">
  <dimension ref="A1:F25"/>
  <sheetViews>
    <sheetView tabSelected="1" workbookViewId="0">
      <selection activeCell="F2" sqref="F2:F25"/>
    </sheetView>
  </sheetViews>
  <sheetFormatPr defaultRowHeight="16.899999999999999" x14ac:dyDescent="0.6"/>
  <cols>
    <col min="2" max="2" width="10.25" bestFit="1" customWidth="1"/>
  </cols>
  <sheetData>
    <row r="1" spans="1:6" x14ac:dyDescent="0.6">
      <c r="A1" t="s">
        <v>0</v>
      </c>
      <c r="B1" t="s">
        <v>20</v>
      </c>
      <c r="C1" t="s">
        <v>1</v>
      </c>
      <c r="D1" t="s">
        <v>2</v>
      </c>
      <c r="E1" t="s">
        <v>21</v>
      </c>
      <c r="F1" t="s">
        <v>22</v>
      </c>
    </row>
    <row r="2" spans="1:6" ht="19.5" customHeight="1" x14ac:dyDescent="0.6">
      <c r="A2" t="s">
        <v>29</v>
      </c>
      <c r="B2" s="1">
        <v>24842063</v>
      </c>
      <c r="C2" s="4">
        <v>128.69999999999999</v>
      </c>
      <c r="D2" s="2">
        <v>128.69999999999999</v>
      </c>
      <c r="E2" s="3">
        <f>(C2*2+C3*2)</f>
        <v>473.4</v>
      </c>
      <c r="F2" s="3">
        <f>E2*100000000/B2*30</f>
        <v>57169.165056863436</v>
      </c>
    </row>
    <row r="3" spans="1:6" ht="19.5" customHeight="1" x14ac:dyDescent="0.6">
      <c r="A3" t="s">
        <v>28</v>
      </c>
      <c r="B3" s="1">
        <v>24842063</v>
      </c>
      <c r="C3" s="4">
        <v>108</v>
      </c>
      <c r="D3" s="2">
        <v>80</v>
      </c>
      <c r="E3" s="3">
        <f>(C3*2+C2*2)</f>
        <v>473.4</v>
      </c>
      <c r="F3" s="3">
        <f t="shared" ref="F3:F25" si="0">E3*100000000/B3*30</f>
        <v>57169.165056863436</v>
      </c>
    </row>
    <row r="4" spans="1:6" ht="19.5" customHeight="1" x14ac:dyDescent="0.6">
      <c r="A4" t="s">
        <v>25</v>
      </c>
      <c r="B4" s="1">
        <v>24842063</v>
      </c>
      <c r="C4" s="4">
        <v>85.8</v>
      </c>
      <c r="D4" s="2">
        <v>-280</v>
      </c>
      <c r="E4" s="3">
        <f>(C3+C4*2+C2)</f>
        <v>408.3</v>
      </c>
      <c r="F4" s="3">
        <f t="shared" si="0"/>
        <v>49307.499139664847</v>
      </c>
    </row>
    <row r="5" spans="1:6" ht="19.5" customHeight="1" x14ac:dyDescent="0.6">
      <c r="A5" t="s">
        <v>26</v>
      </c>
      <c r="B5" s="1">
        <v>24842063</v>
      </c>
      <c r="C5" s="4">
        <v>60</v>
      </c>
      <c r="D5" s="2">
        <v>26</v>
      </c>
      <c r="E5" s="3">
        <f t="shared" ref="E5:E25" si="1">(C4+C5*2+C3)</f>
        <v>313.8</v>
      </c>
      <c r="F5" s="3">
        <f t="shared" si="0"/>
        <v>37895.403453408842</v>
      </c>
    </row>
    <row r="6" spans="1:6" x14ac:dyDescent="0.6">
      <c r="A6" t="s">
        <v>27</v>
      </c>
      <c r="B6" s="1">
        <v>24842063</v>
      </c>
      <c r="C6" s="2">
        <v>19.5</v>
      </c>
      <c r="D6" s="2">
        <v>-725.6</v>
      </c>
      <c r="E6" s="3">
        <f t="shared" si="1"/>
        <v>184.8</v>
      </c>
      <c r="F6" s="3">
        <f t="shared" si="0"/>
        <v>22316.98711978953</v>
      </c>
    </row>
    <row r="7" spans="1:6" x14ac:dyDescent="0.6">
      <c r="A7" t="s">
        <v>24</v>
      </c>
      <c r="B7" s="1">
        <v>24842063</v>
      </c>
      <c r="C7" s="2">
        <v>29</v>
      </c>
      <c r="D7" s="2">
        <v>-513</v>
      </c>
      <c r="E7" s="3">
        <f t="shared" si="1"/>
        <v>137.5</v>
      </c>
      <c r="F7" s="3">
        <f t="shared" si="0"/>
        <v>16604.901130795781</v>
      </c>
    </row>
    <row r="8" spans="1:6" x14ac:dyDescent="0.6">
      <c r="A8" t="s">
        <v>23</v>
      </c>
      <c r="B8" s="1">
        <v>24842063</v>
      </c>
      <c r="C8" s="2">
        <v>-2</v>
      </c>
      <c r="D8" s="2">
        <v>-143</v>
      </c>
      <c r="E8" s="3">
        <f t="shared" si="1"/>
        <v>44.5</v>
      </c>
      <c r="F8" s="3">
        <f t="shared" si="0"/>
        <v>5373.949820512089</v>
      </c>
    </row>
    <row r="9" spans="1:6" x14ac:dyDescent="0.6">
      <c r="A9" t="s">
        <v>3</v>
      </c>
      <c r="B9" s="1">
        <v>24842063</v>
      </c>
      <c r="C9" s="2">
        <v>-4</v>
      </c>
      <c r="D9" s="2">
        <v>-6</v>
      </c>
      <c r="E9" s="3">
        <f t="shared" si="1"/>
        <v>19</v>
      </c>
      <c r="F9" s="3">
        <f t="shared" si="0"/>
        <v>2294.4954289826896</v>
      </c>
    </row>
    <row r="10" spans="1:6" x14ac:dyDescent="0.6">
      <c r="A10" t="s">
        <v>4</v>
      </c>
      <c r="B10" s="1">
        <v>24842063</v>
      </c>
      <c r="C10" s="2">
        <v>-6</v>
      </c>
      <c r="D10" s="2">
        <v>1438</v>
      </c>
      <c r="E10" s="3">
        <f t="shared" si="1"/>
        <v>-18</v>
      </c>
      <c r="F10" s="3">
        <f t="shared" si="0"/>
        <v>-2173.7325116678112</v>
      </c>
    </row>
    <row r="11" spans="1:6" x14ac:dyDescent="0.6">
      <c r="A11" t="s">
        <v>5</v>
      </c>
      <c r="B11" s="1">
        <v>24842063</v>
      </c>
      <c r="C11" s="2">
        <v>2</v>
      </c>
      <c r="D11" s="2">
        <v>-58</v>
      </c>
      <c r="E11" s="3">
        <f t="shared" si="1"/>
        <v>-6</v>
      </c>
      <c r="F11" s="3">
        <f t="shared" si="0"/>
        <v>-724.57750388927047</v>
      </c>
    </row>
    <row r="12" spans="1:6" x14ac:dyDescent="0.6">
      <c r="A12" t="s">
        <v>6</v>
      </c>
      <c r="B12" s="1">
        <v>24842063</v>
      </c>
      <c r="C12" s="2">
        <v>13</v>
      </c>
      <c r="D12" s="2">
        <v>11</v>
      </c>
      <c r="E12" s="3">
        <f t="shared" si="1"/>
        <v>22</v>
      </c>
      <c r="F12" s="3">
        <f t="shared" si="0"/>
        <v>2656.7841809273245</v>
      </c>
    </row>
    <row r="13" spans="1:6" x14ac:dyDescent="0.6">
      <c r="A13" t="s">
        <v>7</v>
      </c>
      <c r="B13" s="1">
        <v>24842063</v>
      </c>
      <c r="C13" s="2">
        <v>17</v>
      </c>
      <c r="D13" s="2">
        <v>19</v>
      </c>
      <c r="E13" s="3">
        <f t="shared" si="1"/>
        <v>49</v>
      </c>
      <c r="F13" s="3">
        <f t="shared" si="0"/>
        <v>5917.3829484290418</v>
      </c>
    </row>
    <row r="14" spans="1:6" x14ac:dyDescent="0.6">
      <c r="A14" t="s">
        <v>8</v>
      </c>
      <c r="B14" s="1">
        <v>24842063</v>
      </c>
      <c r="C14" s="2">
        <v>-4</v>
      </c>
      <c r="D14" s="2">
        <v>-29</v>
      </c>
      <c r="E14" s="3">
        <f t="shared" si="1"/>
        <v>22</v>
      </c>
      <c r="F14" s="3">
        <f t="shared" si="0"/>
        <v>2656.7841809273245</v>
      </c>
    </row>
    <row r="15" spans="1:6" x14ac:dyDescent="0.6">
      <c r="A15" t="s">
        <v>9</v>
      </c>
      <c r="B15" s="1">
        <v>24842063</v>
      </c>
      <c r="C15" s="2">
        <v>48</v>
      </c>
      <c r="D15" s="2">
        <v>494</v>
      </c>
      <c r="E15" s="3">
        <f t="shared" si="1"/>
        <v>109</v>
      </c>
      <c r="F15" s="3">
        <f t="shared" si="0"/>
        <v>13163.157987321745</v>
      </c>
    </row>
    <row r="16" spans="1:6" x14ac:dyDescent="0.6">
      <c r="A16" t="s">
        <v>10</v>
      </c>
      <c r="B16" s="1">
        <v>24842063</v>
      </c>
      <c r="C16" s="2">
        <v>16</v>
      </c>
      <c r="D16" s="2">
        <v>15</v>
      </c>
      <c r="E16" s="3">
        <f t="shared" si="1"/>
        <v>76</v>
      </c>
      <c r="F16" s="3">
        <f t="shared" si="0"/>
        <v>9177.9817159307586</v>
      </c>
    </row>
    <row r="17" spans="1:6" x14ac:dyDescent="0.6">
      <c r="A17" t="s">
        <v>11</v>
      </c>
      <c r="B17" s="1">
        <v>24842063</v>
      </c>
      <c r="C17" s="2">
        <v>21</v>
      </c>
      <c r="D17" s="2">
        <v>6</v>
      </c>
      <c r="E17" s="3">
        <f t="shared" si="1"/>
        <v>106</v>
      </c>
      <c r="F17" s="3">
        <f t="shared" si="0"/>
        <v>12800.869235377109</v>
      </c>
    </row>
    <row r="18" spans="1:6" x14ac:dyDescent="0.6">
      <c r="A18" t="s">
        <v>12</v>
      </c>
      <c r="B18" s="1">
        <v>24842063</v>
      </c>
      <c r="C18" s="2">
        <v>31</v>
      </c>
      <c r="D18" s="2">
        <v>27</v>
      </c>
      <c r="E18" s="3">
        <f t="shared" si="1"/>
        <v>99</v>
      </c>
      <c r="F18" s="3">
        <f t="shared" si="0"/>
        <v>11955.528814172962</v>
      </c>
    </row>
    <row r="19" spans="1:6" x14ac:dyDescent="0.6">
      <c r="A19" t="s">
        <v>13</v>
      </c>
      <c r="B19" s="1">
        <v>24842063</v>
      </c>
      <c r="C19" s="2">
        <v>22</v>
      </c>
      <c r="D19" s="2">
        <v>2</v>
      </c>
      <c r="E19" s="3">
        <f t="shared" si="1"/>
        <v>96</v>
      </c>
      <c r="F19" s="3">
        <f t="shared" si="0"/>
        <v>11593.240062228328</v>
      </c>
    </row>
    <row r="20" spans="1:6" x14ac:dyDescent="0.6">
      <c r="A20" t="s">
        <v>14</v>
      </c>
      <c r="B20" s="1">
        <v>24842063</v>
      </c>
      <c r="C20" s="2">
        <v>22</v>
      </c>
      <c r="D20" s="2">
        <v>12</v>
      </c>
      <c r="E20" s="3">
        <f t="shared" si="1"/>
        <v>97</v>
      </c>
      <c r="F20" s="3">
        <f t="shared" si="0"/>
        <v>11714.002979543204</v>
      </c>
    </row>
    <row r="21" spans="1:6" x14ac:dyDescent="0.6">
      <c r="A21" t="s">
        <v>15</v>
      </c>
      <c r="B21" s="1">
        <v>24842063</v>
      </c>
      <c r="C21" s="2">
        <v>20</v>
      </c>
      <c r="D21" s="2">
        <v>16</v>
      </c>
      <c r="E21" s="3">
        <f t="shared" si="1"/>
        <v>84</v>
      </c>
      <c r="F21" s="3">
        <f t="shared" si="0"/>
        <v>10144.085054449786</v>
      </c>
    </row>
    <row r="22" spans="1:6" x14ac:dyDescent="0.6">
      <c r="A22" t="s">
        <v>16</v>
      </c>
      <c r="B22" s="1">
        <v>24842063</v>
      </c>
      <c r="C22" s="2">
        <v>43</v>
      </c>
      <c r="D22" s="2">
        <v>82</v>
      </c>
      <c r="E22" s="3">
        <f t="shared" si="1"/>
        <v>128</v>
      </c>
      <c r="F22" s="3">
        <f t="shared" si="0"/>
        <v>15457.653416304434</v>
      </c>
    </row>
    <row r="23" spans="1:6" x14ac:dyDescent="0.6">
      <c r="A23" t="s">
        <v>17</v>
      </c>
      <c r="B23" s="1">
        <v>24842063</v>
      </c>
      <c r="C23" s="2">
        <v>32</v>
      </c>
      <c r="D23" s="2">
        <v>23</v>
      </c>
      <c r="E23" s="3">
        <f t="shared" si="1"/>
        <v>127</v>
      </c>
      <c r="F23" s="3">
        <f t="shared" si="0"/>
        <v>15336.890498989556</v>
      </c>
    </row>
    <row r="24" spans="1:6" x14ac:dyDescent="0.6">
      <c r="A24" t="s">
        <v>18</v>
      </c>
      <c r="B24" s="1">
        <v>24842063</v>
      </c>
      <c r="C24" s="2">
        <v>37</v>
      </c>
      <c r="D24" s="2">
        <v>25</v>
      </c>
      <c r="E24" s="3">
        <f t="shared" si="1"/>
        <v>149</v>
      </c>
      <c r="F24" s="3">
        <f t="shared" si="0"/>
        <v>17993.674679916883</v>
      </c>
    </row>
    <row r="25" spans="1:6" x14ac:dyDescent="0.6">
      <c r="A25" t="s">
        <v>19</v>
      </c>
      <c r="B25" s="1">
        <v>24842063</v>
      </c>
      <c r="C25" s="2">
        <v>20</v>
      </c>
      <c r="D25" s="2">
        <v>25</v>
      </c>
      <c r="E25" s="3">
        <f t="shared" si="1"/>
        <v>109</v>
      </c>
      <c r="F25" s="3">
        <f t="shared" si="0"/>
        <v>13163.157987321745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엘앤씨바이오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2025-01-28T10:20:59Z</dcterms:created>
  <dcterms:modified xsi:type="dcterms:W3CDTF">2026-10-06T23:54:23Z</dcterms:modified>
</cp:coreProperties>
</file>