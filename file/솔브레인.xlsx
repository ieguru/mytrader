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3B900797-1385-406C-858C-941D3F85B88D}" xr6:coauthVersionLast="47" xr6:coauthVersionMax="47" xr10:uidLastSave="{00000000-0000-0000-0000-000000000000}"/>
  <bookViews>
    <workbookView xWindow="338" yWindow="2062" windowWidth="13635" windowHeight="7261" xr2:uid="{DA083A8F-9A99-4A58-981A-1E6F0C42539A}"/>
  </bookViews>
  <sheets>
    <sheet name="솔브레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4" i="1"/>
  <c r="E5" i="1"/>
  <c r="E3" i="1"/>
  <c r="E2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<sst xmlns="http://schemas.openxmlformats.org/spreadsheetml/2006/main" count="32" uniqueCount="32">
  <si>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</si>
  <si>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</si>
  <si>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</si>
  <si>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</si>
  <si>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</si>
  <si>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</si>
  <si>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</si>
  <si>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</si>
  <si>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</si>
  <si>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</si>
  <si>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</si>
  <si>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</si>
  <si>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</si>
  <si>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</si>
  <si>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</si>
  <si>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</si>
  <si>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</si>
  <si>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</si>
  <si>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</si>
  <si>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</si>
  <si>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</si>
  <si>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</si>
  <si>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4Q_income</t>
  </si>
  <si>
    <t>목표가</t>
  </si>
  <si>
    <t>2025.2Q</t>
    <phoneticPr fontId="18" type="noConversion"/>
  </si>
  <si>
    <t>상장주식수</t>
    <phoneticPr fontId="18" type="noConversion"/>
  </si>
  <si>
    <t>2025.3Q</t>
    <phoneticPr fontId="18" type="noConversion"/>
  </si>
  <si>
    <t>2025.4Q</t>
    <phoneticPr fontId="18" type="noConversion"/>
  </si>
  <si>
    <t>2026.3Q</t>
    <phoneticPr fontId="18" type="noConversion"/>
  </si>
  <si>
    <t>2026.2Q</t>
    <phoneticPr fontId="18" type="noConversion"/>
  </si>
  <si>
    <t>2026.1Q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</si>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</sst>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14" fillId="33" borderId="0" xfId="42" applyFont="1" applyFill="1">
      <alignment vertical="center"/>
    </xf>
    <xf numFmtId="41" fontId="0" fillId="33" borderId="0" xfId="42" applyFont="1" applyFill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F96-E442-49CF-87B1-FD3BC695C87A}">
  <dimension ref="A1:F27"/>
  <sheetViews>
    <sheetView tabSelected="1" workbookViewId="0">
      <selection activeCell="F2" sqref="F2:F27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25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31</v>
      </c>
      <c r="B2" s="1">
        <v>7778566</v>
      </c>
      <c r="C2" s="2">
        <v>537</v>
      </c>
      <c r="D2" s="2">
        <v>383</v>
      </c>
      <c r="E2" s="4">
        <f>SUM(C2:C3)*2</f>
        <v>2126</v>
      </c>
      <c r="F2" s="4">
        <f>E2*100000000/B2*20</f>
        <v>546630.31720756763</v>
      </c>
    </row>
    <row r="3" spans="1:6" x14ac:dyDescent="0.6">
      <c r="A3" t="s">
        <v>28</v>
      </c>
      <c r="B3" s="1">
        <v>7778566</v>
      </c>
      <c r="C3" s="2">
        <v>526</v>
      </c>
      <c r="D3" s="2">
        <v>416</v>
      </c>
      <c r="E3" s="4">
        <f>SUM(C2:C3)*2</f>
        <v>2126</v>
      </c>
      <c r="F3" s="4">
        <f t="shared" ref="F3:F27" si="0">E3*100000000/B3*20</f>
        <v>546630.31720756763</v>
      </c>
    </row>
    <row r="4" spans="1:6" x14ac:dyDescent="0.6">
      <c r="A4" t="s">
        <v>29</v>
      </c>
      <c r="B4" s="1">
        <v>7778566</v>
      </c>
      <c r="C4" s="2">
        <v>475</v>
      </c>
      <c r="D4" s="2">
        <v>373</v>
      </c>
      <c r="E4" s="4">
        <f t="shared" ref="E4:E27" si="1">C4+C3*2+C2</f>
        <v>2064</v>
      </c>
      <c r="F4" s="4">
        <f t="shared" si="0"/>
        <v>530689.07559568179</v>
      </c>
    </row>
    <row r="5" spans="1:6" x14ac:dyDescent="0.6">
      <c r="A5" t="s">
        <v>30</v>
      </c>
      <c r="B5" s="1">
        <v>7778566</v>
      </c>
      <c r="C5" s="2">
        <v>456.1</v>
      </c>
      <c r="D5" s="2">
        <v>370</v>
      </c>
      <c r="E5" s="4">
        <f t="shared" si="1"/>
        <v>1932.1</v>
      </c>
      <c r="F5" s="4">
        <f t="shared" si="0"/>
        <v>496775.3696503957</v>
      </c>
    </row>
    <row r="6" spans="1:6" x14ac:dyDescent="0.6">
      <c r="A6" t="s">
        <v>27</v>
      </c>
      <c r="B6" s="1">
        <v>7778566</v>
      </c>
      <c r="C6" s="3">
        <v>430.4</v>
      </c>
      <c r="D6" s="3">
        <v>107</v>
      </c>
      <c r="E6" s="4">
        <f t="shared" si="1"/>
        <v>1817.6</v>
      </c>
      <c r="F6" s="4">
        <f t="shared" si="0"/>
        <v>467335.49602844531</v>
      </c>
    </row>
    <row r="7" spans="1:6" x14ac:dyDescent="0.6">
      <c r="A7" t="s">
        <v>26</v>
      </c>
      <c r="B7" s="1">
        <v>7778566</v>
      </c>
      <c r="C7" s="3">
        <v>343.9</v>
      </c>
      <c r="D7" s="3">
        <v>260</v>
      </c>
      <c r="E7" s="4">
        <f t="shared" si="1"/>
        <v>1660.7999999999997</v>
      </c>
      <c r="F7" s="4">
        <f t="shared" si="0"/>
        <v>427019.58175838576</v>
      </c>
    </row>
    <row r="8" spans="1:6" x14ac:dyDescent="0.6">
      <c r="A8" t="s">
        <v>24</v>
      </c>
      <c r="B8" s="1">
        <v>7778566</v>
      </c>
      <c r="C8" s="3">
        <v>201.7</v>
      </c>
      <c r="D8" s="3">
        <v>113</v>
      </c>
      <c r="E8" s="4">
        <f t="shared" si="1"/>
        <v>1319.9</v>
      </c>
      <c r="F8" s="4">
        <f t="shared" si="0"/>
        <v>339368.46457303321</v>
      </c>
    </row>
    <row r="9" spans="1:6" x14ac:dyDescent="0.6">
      <c r="A9" t="s">
        <v>3</v>
      </c>
      <c r="B9" s="1">
        <v>7778566</v>
      </c>
      <c r="C9" s="4">
        <v>360.5</v>
      </c>
      <c r="D9">
        <v>310</v>
      </c>
      <c r="E9">
        <f t="shared" si="1"/>
        <v>1107.8</v>
      </c>
      <c r="F9" s="4">
        <f t="shared" si="0"/>
        <v>284833.99125237222</v>
      </c>
    </row>
    <row r="10" spans="1:6" x14ac:dyDescent="0.6">
      <c r="A10" t="s">
        <v>4</v>
      </c>
      <c r="B10" s="1">
        <v>7778566</v>
      </c>
      <c r="C10" s="4">
        <v>411</v>
      </c>
      <c r="D10">
        <v>350</v>
      </c>
      <c r="E10">
        <f t="shared" si="1"/>
        <v>1333.7</v>
      </c>
      <c r="F10" s="4">
        <f t="shared" si="0"/>
        <v>342916.6764156787</v>
      </c>
    </row>
    <row r="11" spans="1:6" x14ac:dyDescent="0.6">
      <c r="A11" t="s">
        <v>5</v>
      </c>
      <c r="B11" s="1">
        <v>7778566</v>
      </c>
      <c r="C11" s="4">
        <v>397</v>
      </c>
      <c r="D11">
        <v>298</v>
      </c>
      <c r="E11">
        <f t="shared" si="1"/>
        <v>1579.5</v>
      </c>
      <c r="F11" s="4">
        <f t="shared" si="0"/>
        <v>406115.98590280011</v>
      </c>
    </row>
    <row r="12" spans="1:6" x14ac:dyDescent="0.6">
      <c r="A12" t="s">
        <v>6</v>
      </c>
      <c r="B12" s="1">
        <v>7778566</v>
      </c>
      <c r="C12" s="4">
        <v>458</v>
      </c>
      <c r="D12">
        <v>441</v>
      </c>
      <c r="E12">
        <f t="shared" si="1"/>
        <v>1663</v>
      </c>
      <c r="F12" s="4">
        <f t="shared" si="0"/>
        <v>427585.23871880752</v>
      </c>
    </row>
    <row r="13" spans="1:6" x14ac:dyDescent="0.6">
      <c r="A13" t="s">
        <v>7</v>
      </c>
      <c r="B13" s="1">
        <v>7778566</v>
      </c>
      <c r="C13" s="4">
        <v>460</v>
      </c>
      <c r="D13">
        <v>462</v>
      </c>
      <c r="E13">
        <f t="shared" si="1"/>
        <v>1773</v>
      </c>
      <c r="F13" s="4">
        <f t="shared" si="0"/>
        <v>455868.08673989523</v>
      </c>
    </row>
    <row r="14" spans="1:6" x14ac:dyDescent="0.6">
      <c r="A14" t="s">
        <v>8</v>
      </c>
      <c r="B14" s="1">
        <v>7778566</v>
      </c>
      <c r="C14" s="4">
        <v>228</v>
      </c>
      <c r="D14">
        <v>237</v>
      </c>
      <c r="E14">
        <f t="shared" si="1"/>
        <v>1606</v>
      </c>
      <c r="F14" s="4">
        <f t="shared" si="0"/>
        <v>412929.58110788028</v>
      </c>
    </row>
    <row r="15" spans="1:6" x14ac:dyDescent="0.6">
      <c r="A15" t="s">
        <v>9</v>
      </c>
      <c r="B15" s="1">
        <v>7778566</v>
      </c>
      <c r="C15" s="4">
        <v>286</v>
      </c>
      <c r="D15">
        <v>285</v>
      </c>
      <c r="E15">
        <f t="shared" si="1"/>
        <v>1202</v>
      </c>
      <c r="F15" s="4">
        <f t="shared" si="0"/>
        <v>309054.39383043098</v>
      </c>
    </row>
    <row r="16" spans="1:6" x14ac:dyDescent="0.6">
      <c r="A16" t="s">
        <v>10</v>
      </c>
      <c r="B16" s="1">
        <v>7778566</v>
      </c>
      <c r="C16" s="4">
        <v>331</v>
      </c>
      <c r="D16">
        <v>331</v>
      </c>
      <c r="E16">
        <f t="shared" si="1"/>
        <v>1131</v>
      </c>
      <c r="F16" s="4">
        <f t="shared" si="0"/>
        <v>290799.10101681983</v>
      </c>
    </row>
    <row r="17" spans="1:6" x14ac:dyDescent="0.6">
      <c r="A17" t="s">
        <v>11</v>
      </c>
      <c r="B17" s="1">
        <v>7778566</v>
      </c>
      <c r="C17" s="4">
        <v>491</v>
      </c>
      <c r="D17">
        <v>456</v>
      </c>
      <c r="E17">
        <f t="shared" si="1"/>
        <v>1439</v>
      </c>
      <c r="F17" s="4">
        <f t="shared" si="0"/>
        <v>369991.07547586539</v>
      </c>
    </row>
    <row r="18" spans="1:6" x14ac:dyDescent="0.6">
      <c r="A18" t="s">
        <v>12</v>
      </c>
      <c r="B18" s="1">
        <v>7778566</v>
      </c>
      <c r="C18" s="4">
        <v>440</v>
      </c>
      <c r="D18">
        <v>202</v>
      </c>
      <c r="E18">
        <f t="shared" si="1"/>
        <v>1753</v>
      </c>
      <c r="F18" s="4">
        <f t="shared" si="0"/>
        <v>450725.75073606108</v>
      </c>
    </row>
    <row r="19" spans="1:6" x14ac:dyDescent="0.6">
      <c r="A19" t="s">
        <v>13</v>
      </c>
      <c r="B19" s="1">
        <v>7778566</v>
      </c>
      <c r="C19" s="4">
        <v>501</v>
      </c>
      <c r="D19">
        <v>489</v>
      </c>
      <c r="E19">
        <f t="shared" si="1"/>
        <v>1872</v>
      </c>
      <c r="F19" s="4">
        <f t="shared" si="0"/>
        <v>481322.64995887416</v>
      </c>
    </row>
    <row r="20" spans="1:6" x14ac:dyDescent="0.6">
      <c r="A20" t="s">
        <v>14</v>
      </c>
      <c r="B20" s="1">
        <v>7778566</v>
      </c>
      <c r="C20" s="4">
        <v>553</v>
      </c>
      <c r="D20">
        <v>498</v>
      </c>
      <c r="E20">
        <f t="shared" si="1"/>
        <v>1995</v>
      </c>
      <c r="F20" s="4">
        <f t="shared" si="0"/>
        <v>512948.01638245402</v>
      </c>
    </row>
    <row r="21" spans="1:6" x14ac:dyDescent="0.6">
      <c r="A21" t="s">
        <v>15</v>
      </c>
      <c r="B21" s="1">
        <v>7778566</v>
      </c>
      <c r="C21" s="4">
        <v>576</v>
      </c>
      <c r="D21">
        <v>487</v>
      </c>
      <c r="E21">
        <f t="shared" si="1"/>
        <v>2183</v>
      </c>
      <c r="F21" s="4">
        <f t="shared" si="0"/>
        <v>561285.97481849475</v>
      </c>
    </row>
    <row r="22" spans="1:6" x14ac:dyDescent="0.6">
      <c r="A22" t="s">
        <v>16</v>
      </c>
      <c r="B22" s="1">
        <v>7778566</v>
      </c>
      <c r="C22" s="4">
        <v>446</v>
      </c>
      <c r="D22">
        <v>368</v>
      </c>
      <c r="E22">
        <f t="shared" si="1"/>
        <v>2151</v>
      </c>
      <c r="F22" s="4">
        <f t="shared" si="0"/>
        <v>553058.23721236025</v>
      </c>
    </row>
    <row r="23" spans="1:6" x14ac:dyDescent="0.6">
      <c r="A23" t="s">
        <v>17</v>
      </c>
      <c r="B23" s="1">
        <v>7778566</v>
      </c>
      <c r="C23" s="4">
        <v>506</v>
      </c>
      <c r="D23">
        <v>423</v>
      </c>
      <c r="E23">
        <f t="shared" si="1"/>
        <v>1974</v>
      </c>
      <c r="F23" s="4">
        <f t="shared" si="0"/>
        <v>507548.56357842823</v>
      </c>
    </row>
    <row r="24" spans="1:6" x14ac:dyDescent="0.6">
      <c r="A24" t="s">
        <v>18</v>
      </c>
      <c r="B24" s="1">
        <v>7778566</v>
      </c>
      <c r="C24" s="4">
        <v>431</v>
      </c>
      <c r="D24">
        <v>310</v>
      </c>
      <c r="E24">
        <f t="shared" si="1"/>
        <v>1889</v>
      </c>
      <c r="F24" s="4">
        <f t="shared" si="0"/>
        <v>485693.63556213322</v>
      </c>
    </row>
    <row r="25" spans="1:6" x14ac:dyDescent="0.6">
      <c r="A25" t="s">
        <v>19</v>
      </c>
      <c r="B25" s="1">
        <v>7778566</v>
      </c>
      <c r="C25" s="4">
        <v>505</v>
      </c>
      <c r="D25">
        <v>421</v>
      </c>
      <c r="E25">
        <f t="shared" si="1"/>
        <v>1873</v>
      </c>
      <c r="F25" s="4">
        <f t="shared" si="0"/>
        <v>481579.76675906591</v>
      </c>
    </row>
    <row r="26" spans="1:6" x14ac:dyDescent="0.6">
      <c r="A26" t="s">
        <v>20</v>
      </c>
      <c r="B26" s="1">
        <v>7778566</v>
      </c>
      <c r="C26" s="4">
        <v>497</v>
      </c>
      <c r="D26">
        <v>268</v>
      </c>
      <c r="E26">
        <f t="shared" si="1"/>
        <v>1938</v>
      </c>
      <c r="F26" s="4">
        <f t="shared" si="0"/>
        <v>498292.35877152678</v>
      </c>
    </row>
    <row r="27" spans="1:6" x14ac:dyDescent="0.6">
      <c r="A27" t="s">
        <v>21</v>
      </c>
      <c r="B27" s="1">
        <v>7778566</v>
      </c>
      <c r="C27" s="4">
        <v>543</v>
      </c>
      <c r="D27">
        <v>381</v>
      </c>
      <c r="E27">
        <f t="shared" si="1"/>
        <v>2042</v>
      </c>
      <c r="F27" s="4">
        <f t="shared" si="0"/>
        <v>525032.50599146425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솔브레인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2025-01-30T13:01:03Z</dcterms:created>
  <dcterms:modified xsi:type="dcterms:W3CDTF">2026-05-24T02:37:58Z</dcterms:modified>
</cp:coreProperties>
</file>