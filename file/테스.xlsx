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92B2E24D-756D-4FB1-BE9F-AF95096BE2A0}" xr6:coauthVersionLast="47" xr6:coauthVersionMax="47" xr10:uidLastSave="{00000000-0000-0000-0000-000000000000}"/>
  <bookViews>
    <workbookView xWindow="12278" yWindow="2422" windowWidth="13679" windowHeight="11670" xr2:uid="{C05637EF-894A-4FAC-9F47-0179780C4CC4}"/>
  </bookViews>
  <sheets>
    <sheet name="테스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4" i="1"/>
  <c r="E3" i="1"/>
  <c r="E2" i="1"/>
</calcChain>
</file>

<file path=xl/sharedStrings.xml><?xml version="1.0" encoding="utf-8"?>
<sst xmlns="http://schemas.openxmlformats.org/spreadsheetml/2006/main" count="33" uniqueCount="33">
  <si>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</si>
  <si>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</si>
  <si>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</si>
  <si>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</si>
  <si>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</si>
  <si>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</si>
  <si>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</si>
  <si>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</si>
  <si>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</si>
  <si>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</si>
  <si>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</si>
  <si>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</si>
  <si>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</si>
  <si>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</si>
  <si>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</si>
  <si>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</si>
  <si>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</si>
  <si>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</si>
  <si>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</si>
  <si>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</si>
  <si>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</si>
  <si>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</si>
  <si>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</si>
  <si>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</si>
  <si>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</si>
  <si>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2025.2Q</t>
    <phoneticPr fontId="18" type="noConversion"/>
  </si>
  <si>
    <t>4Q_income</t>
  </si>
  <si>
    <t>2025.3Q</t>
    <phoneticPr fontId="18" type="noConversion"/>
  </si>
  <si>
    <t>2025.4Q</t>
    <phoneticPr fontId="18" type="noConversion"/>
  </si>
  <si>
    <t>2026.2Q</t>
    <phoneticPr fontId="18" type="noConversion"/>
  </si>
  <si>
    <t>2026.1Q</t>
    <phoneticPr fontId="18" type="noConversion"/>
  </si>
  <si>
    <t>목표가</t>
    <phoneticPr fontId="18" type="noConversion"/>
  </si>
  <si>
    <t>2026.3Q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</si>
</sst>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3" fontId="0" fillId="0" borderId="0" xfId="0" applyNumberFormat="1">
      <alignment vertical="center"/>
    </xf>
    <xf numFmtId="41" fontId="14" fillId="0" borderId="0" xfId="42" applyFont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8"/>
  <sheetViews>
    <sheetView tabSelected="1" workbookViewId="0">
      <selection activeCell="H6" sqref="H6"/>
    </sheetView>
  </sheetViews>
  <sheetFormatPr defaultRowHeight="16.899999999999999" x14ac:dyDescent="0.6"/>
  <cols>
    <col min="2" max="2" width="10.25" bestFit="1" customWidth="1"/>
    <col min="5" max="5" width="12.8125" customWidth="1"/>
    <col min="6" max="6" width="13.5" customWidth="1"/>
  </cols>
  <sheetData>
    <row r="1" spans="1:6" x14ac:dyDescent="0.6">
      <c r="A1" t="s">
        <v>0</v>
      </c>
      <c r="B1" t="s">
        <v>24</v>
      </c>
      <c r="C1" t="s">
        <v>1</v>
      </c>
      <c r="D1" t="s">
        <v>2</v>
      </c>
      <c r="E1" t="s">
        <v>26</v>
      </c>
      <c r="F1" t="s">
        <v>31</v>
      </c>
    </row>
    <row r="2" spans="1:6" x14ac:dyDescent="0.6">
      <c r="A2" t="s">
        <v>32</v>
      </c>
      <c r="B2" s="1">
        <v>19768226</v>
      </c>
      <c r="C2" s="2">
        <v>244</v>
      </c>
      <c r="D2" s="2">
        <v>224</v>
      </c>
      <c r="E2" s="3">
        <f>(C2*2+C3*2)</f>
        <v>990</v>
      </c>
      <c r="F2" s="3">
        <f>E2*100000000/B2*30</f>
        <v>150241.09902426245</v>
      </c>
    </row>
    <row r="3" spans="1:6" x14ac:dyDescent="0.6">
      <c r="A3" t="s">
        <v>29</v>
      </c>
      <c r="B3" s="1">
        <v>19768226</v>
      </c>
      <c r="C3" s="2">
        <v>251</v>
      </c>
      <c r="D3" s="2">
        <v>224</v>
      </c>
      <c r="E3" s="3">
        <f>(C3*2+C2*2)</f>
        <v>990</v>
      </c>
      <c r="F3" s="3">
        <f t="shared" ref="F3:F26" si="0">E3*100000000/B3*30</f>
        <v>150241.09902426245</v>
      </c>
    </row>
    <row r="4" spans="1:6" x14ac:dyDescent="0.6">
      <c r="A4" t="s">
        <v>30</v>
      </c>
      <c r="B4" s="1">
        <v>19768226</v>
      </c>
      <c r="C4" s="2">
        <v>255</v>
      </c>
      <c r="D4" s="2">
        <v>241</v>
      </c>
      <c r="E4" s="3">
        <f>C4+C3*2+C2</f>
        <v>1001</v>
      </c>
      <c r="F4" s="3">
        <f t="shared" si="0"/>
        <v>151910.4445689765</v>
      </c>
    </row>
    <row r="5" spans="1:6" x14ac:dyDescent="0.6">
      <c r="A5" t="s">
        <v>28</v>
      </c>
      <c r="B5" s="1">
        <v>19768226</v>
      </c>
      <c r="C5" s="2">
        <v>222</v>
      </c>
      <c r="D5" s="2">
        <v>245</v>
      </c>
      <c r="E5" s="3">
        <f t="shared" ref="E5:E27" si="1">C5+C4*2+C3</f>
        <v>983</v>
      </c>
      <c r="F5" s="3">
        <f t="shared" si="0"/>
        <v>149178.78822308083</v>
      </c>
    </row>
    <row r="6" spans="1:6" x14ac:dyDescent="0.6">
      <c r="A6" t="s">
        <v>27</v>
      </c>
      <c r="B6" s="1">
        <v>19768226</v>
      </c>
      <c r="C6" s="2">
        <v>127</v>
      </c>
      <c r="D6" s="2">
        <v>100</v>
      </c>
      <c r="E6" s="3">
        <f t="shared" si="1"/>
        <v>826</v>
      </c>
      <c r="F6" s="3">
        <f t="shared" si="0"/>
        <v>125352.67453943515</v>
      </c>
    </row>
    <row r="7" spans="1:6" x14ac:dyDescent="0.6">
      <c r="A7" t="s">
        <v>25</v>
      </c>
      <c r="B7" s="1">
        <v>19768226</v>
      </c>
      <c r="C7" s="3">
        <v>84</v>
      </c>
      <c r="D7" s="3">
        <v>121</v>
      </c>
      <c r="E7" s="3">
        <f t="shared" si="1"/>
        <v>560</v>
      </c>
      <c r="F7" s="3">
        <f t="shared" si="0"/>
        <v>84984.864094532313</v>
      </c>
    </row>
    <row r="8" spans="1:6" x14ac:dyDescent="0.6">
      <c r="A8" t="s">
        <v>3</v>
      </c>
      <c r="B8" s="1">
        <v>19768226</v>
      </c>
      <c r="C8" s="3">
        <v>203</v>
      </c>
      <c r="D8" s="3">
        <v>189</v>
      </c>
      <c r="E8" s="3">
        <f t="shared" si="1"/>
        <v>498</v>
      </c>
      <c r="F8" s="3">
        <f t="shared" si="0"/>
        <v>75575.825569780514</v>
      </c>
    </row>
    <row r="9" spans="1:6" x14ac:dyDescent="0.6">
      <c r="A9" t="s">
        <v>4</v>
      </c>
      <c r="B9" s="1">
        <v>19768226</v>
      </c>
      <c r="C9" s="3">
        <v>163</v>
      </c>
      <c r="D9" s="3">
        <v>158</v>
      </c>
      <c r="E9" s="3">
        <f t="shared" si="1"/>
        <v>653</v>
      </c>
      <c r="F9" s="3">
        <f t="shared" si="0"/>
        <v>99098.42188165999</v>
      </c>
    </row>
    <row r="10" spans="1:6" x14ac:dyDescent="0.6">
      <c r="A10" t="s">
        <v>5</v>
      </c>
      <c r="B10" s="1">
        <v>19768226</v>
      </c>
      <c r="C10" s="3">
        <v>226</v>
      </c>
      <c r="D10" s="3">
        <v>183</v>
      </c>
      <c r="E10" s="3">
        <f t="shared" si="1"/>
        <v>755</v>
      </c>
      <c r="F10" s="3">
        <f t="shared" si="0"/>
        <v>114577.80784173551</v>
      </c>
    </row>
    <row r="11" spans="1:6" x14ac:dyDescent="0.6">
      <c r="A11" t="s">
        <v>6</v>
      </c>
      <c r="B11" s="1">
        <v>19768226</v>
      </c>
      <c r="C11" s="3">
        <v>226</v>
      </c>
      <c r="D11" s="3">
        <v>187</v>
      </c>
      <c r="E11" s="3">
        <f t="shared" si="1"/>
        <v>841</v>
      </c>
      <c r="F11" s="3">
        <f t="shared" si="0"/>
        <v>127629.05482768157</v>
      </c>
    </row>
    <row r="12" spans="1:6" x14ac:dyDescent="0.6">
      <c r="A12" t="s">
        <v>7</v>
      </c>
      <c r="B12" s="1">
        <v>19768226</v>
      </c>
      <c r="C12" s="3">
        <v>203</v>
      </c>
      <c r="D12" s="3">
        <v>190</v>
      </c>
      <c r="E12" s="3">
        <f t="shared" si="1"/>
        <v>881</v>
      </c>
      <c r="F12" s="3">
        <f t="shared" si="0"/>
        <v>133699.40226300529</v>
      </c>
    </row>
    <row r="13" spans="1:6" x14ac:dyDescent="0.6">
      <c r="A13" t="s">
        <v>8</v>
      </c>
      <c r="B13" s="1">
        <v>19768226</v>
      </c>
      <c r="C13" s="3">
        <v>174</v>
      </c>
      <c r="D13" s="3">
        <v>156</v>
      </c>
      <c r="E13" s="3">
        <f t="shared" si="1"/>
        <v>806</v>
      </c>
      <c r="F13" s="3">
        <f t="shared" si="0"/>
        <v>122317.50082177328</v>
      </c>
    </row>
    <row r="14" spans="1:6" x14ac:dyDescent="0.6">
      <c r="A14" t="s">
        <v>9</v>
      </c>
      <c r="B14" s="1">
        <v>19768226</v>
      </c>
      <c r="C14" s="3">
        <v>-53</v>
      </c>
      <c r="D14" s="3">
        <v>-41</v>
      </c>
      <c r="E14" s="3">
        <f t="shared" si="1"/>
        <v>498</v>
      </c>
      <c r="F14" s="3">
        <f t="shared" si="0"/>
        <v>75575.825569780514</v>
      </c>
    </row>
    <row r="15" spans="1:6" x14ac:dyDescent="0.6">
      <c r="A15" t="s">
        <v>10</v>
      </c>
      <c r="B15" s="1">
        <v>19768226</v>
      </c>
      <c r="C15" s="3">
        <v>94</v>
      </c>
      <c r="D15" s="3">
        <v>132</v>
      </c>
      <c r="E15" s="3">
        <f t="shared" si="1"/>
        <v>162</v>
      </c>
      <c r="F15" s="3">
        <f t="shared" si="0"/>
        <v>24584.90711306113</v>
      </c>
    </row>
    <row r="16" spans="1:6" x14ac:dyDescent="0.6">
      <c r="A16" t="s">
        <v>11</v>
      </c>
      <c r="B16" s="1">
        <v>19768226</v>
      </c>
      <c r="C16">
        <v>-23</v>
      </c>
      <c r="D16">
        <v>3</v>
      </c>
      <c r="E16" s="3">
        <f t="shared" si="1"/>
        <v>112</v>
      </c>
      <c r="F16" s="3">
        <f t="shared" si="0"/>
        <v>16996.972818906459</v>
      </c>
    </row>
    <row r="17" spans="1:6" x14ac:dyDescent="0.6">
      <c r="A17" t="s">
        <v>12</v>
      </c>
      <c r="B17" s="1">
        <v>19768226</v>
      </c>
      <c r="C17">
        <v>85</v>
      </c>
      <c r="D17">
        <v>53</v>
      </c>
      <c r="E17" s="3">
        <f t="shared" si="1"/>
        <v>133</v>
      </c>
      <c r="F17" s="3">
        <f t="shared" si="0"/>
        <v>20183.905222451423</v>
      </c>
    </row>
    <row r="18" spans="1:6" x14ac:dyDescent="0.6">
      <c r="A18" t="s">
        <v>13</v>
      </c>
      <c r="B18" s="1">
        <v>19768226</v>
      </c>
      <c r="C18">
        <v>154</v>
      </c>
      <c r="D18">
        <v>148</v>
      </c>
      <c r="E18" s="3">
        <f t="shared" si="1"/>
        <v>301</v>
      </c>
      <c r="F18" s="3">
        <f t="shared" si="0"/>
        <v>45679.364450811117</v>
      </c>
    </row>
    <row r="19" spans="1:6" x14ac:dyDescent="0.6">
      <c r="A19" t="s">
        <v>14</v>
      </c>
      <c r="B19" s="1">
        <v>19768226</v>
      </c>
      <c r="C19">
        <v>136</v>
      </c>
      <c r="D19">
        <v>115</v>
      </c>
      <c r="E19" s="3">
        <f t="shared" si="1"/>
        <v>529</v>
      </c>
      <c r="F19" s="3">
        <f t="shared" si="0"/>
        <v>80280.344832156421</v>
      </c>
    </row>
    <row r="20" spans="1:6" x14ac:dyDescent="0.6">
      <c r="A20" t="s">
        <v>15</v>
      </c>
      <c r="B20" s="1">
        <v>19768226</v>
      </c>
      <c r="C20">
        <v>185</v>
      </c>
      <c r="D20">
        <v>152</v>
      </c>
      <c r="E20" s="3">
        <f t="shared" si="1"/>
        <v>611</v>
      </c>
      <c r="F20" s="3">
        <f t="shared" si="0"/>
        <v>92724.557074570068</v>
      </c>
    </row>
    <row r="21" spans="1:6" x14ac:dyDescent="0.6">
      <c r="A21" t="s">
        <v>16</v>
      </c>
      <c r="B21" s="1">
        <v>19768226</v>
      </c>
      <c r="C21">
        <v>5</v>
      </c>
      <c r="D21">
        <v>182</v>
      </c>
      <c r="E21" s="3">
        <f t="shared" si="1"/>
        <v>511</v>
      </c>
      <c r="F21" s="3">
        <f t="shared" si="0"/>
        <v>77548.68848626074</v>
      </c>
    </row>
    <row r="22" spans="1:6" x14ac:dyDescent="0.6">
      <c r="A22" t="s">
        <v>17</v>
      </c>
      <c r="B22" s="1">
        <v>19768226</v>
      </c>
      <c r="C22">
        <v>63</v>
      </c>
      <c r="D22">
        <v>71</v>
      </c>
      <c r="E22" s="3">
        <f t="shared" si="1"/>
        <v>258</v>
      </c>
      <c r="F22" s="3">
        <f t="shared" si="0"/>
        <v>39153.740957838105</v>
      </c>
    </row>
    <row r="23" spans="1:6" x14ac:dyDescent="0.6">
      <c r="A23" t="s">
        <v>18</v>
      </c>
      <c r="B23" s="1">
        <v>19768226</v>
      </c>
      <c r="C23">
        <v>223</v>
      </c>
      <c r="D23">
        <v>208</v>
      </c>
      <c r="E23" s="3">
        <f t="shared" si="1"/>
        <v>354</v>
      </c>
      <c r="F23" s="3">
        <f t="shared" si="0"/>
        <v>53722.574802615061</v>
      </c>
    </row>
    <row r="24" spans="1:6" x14ac:dyDescent="0.6">
      <c r="A24" t="s">
        <v>19</v>
      </c>
      <c r="B24" s="1">
        <v>19768226</v>
      </c>
      <c r="C24">
        <v>330</v>
      </c>
      <c r="D24">
        <v>279</v>
      </c>
      <c r="E24" s="3">
        <f t="shared" si="1"/>
        <v>839</v>
      </c>
      <c r="F24" s="3">
        <f t="shared" si="0"/>
        <v>127325.53745591537</v>
      </c>
    </row>
    <row r="25" spans="1:6" x14ac:dyDescent="0.6">
      <c r="A25" t="s">
        <v>20</v>
      </c>
      <c r="B25" s="1">
        <v>19768226</v>
      </c>
      <c r="C25">
        <v>10</v>
      </c>
      <c r="D25">
        <v>50</v>
      </c>
      <c r="E25" s="3">
        <f t="shared" si="1"/>
        <v>893</v>
      </c>
      <c r="F25" s="3">
        <f t="shared" si="0"/>
        <v>135520.50649360241</v>
      </c>
    </row>
    <row r="26" spans="1:6" x14ac:dyDescent="0.6">
      <c r="A26" t="s">
        <v>21</v>
      </c>
      <c r="B26" s="1">
        <v>19768226</v>
      </c>
      <c r="C26">
        <v>59</v>
      </c>
      <c r="D26">
        <v>60</v>
      </c>
      <c r="E26" s="3">
        <f t="shared" si="1"/>
        <v>409</v>
      </c>
      <c r="F26" s="3">
        <f t="shared" si="0"/>
        <v>62069.302526185202</v>
      </c>
    </row>
    <row r="27" spans="1:6" x14ac:dyDescent="0.6">
      <c r="A27" t="s">
        <v>22</v>
      </c>
      <c r="B27" s="1">
        <v>19768226</v>
      </c>
      <c r="C27">
        <v>137</v>
      </c>
      <c r="D27">
        <v>148</v>
      </c>
      <c r="E27" s="3">
        <f t="shared" si="1"/>
        <v>265</v>
      </c>
      <c r="F27" s="3"/>
    </row>
    <row r="28" spans="1:6" x14ac:dyDescent="0.6">
      <c r="A28" t="s">
        <v>23</v>
      </c>
      <c r="B28" s="1">
        <v>19768226</v>
      </c>
      <c r="C28">
        <v>110</v>
      </c>
      <c r="D28">
        <v>42</v>
      </c>
      <c r="E28" s="3"/>
      <c r="F28" s="3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테스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2026-05-24T02:23:12Z</dcterms:modified>
</cp:coreProperties>
</file>