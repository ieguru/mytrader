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E0265B52-67D9-4A2B-93FA-B50B90179C2D}" xr6:coauthVersionLast="47" xr6:coauthVersionMax="47" xr10:uidLastSave="{00000000-0000-0000-0000-000000000000}"/>
  <bookViews>
    <workbookView xWindow="-110" yWindow="-110" windowWidth="38620" windowHeight="21100" xr2:uid="{C8D1CA31-9A8D-48BC-97FC-23CBA29A2F93}"/>
  </bookViews>
  <sheets>
    <sheet name="삼성전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F20" i="1" s="1"/>
  <c r="E19" i="1"/>
  <c r="E18" i="1"/>
  <c r="E17" i="1"/>
  <c r="F17" i="1" s="1"/>
  <c r="E16" i="1"/>
  <c r="F16" i="1" s="1"/>
  <c r="E15" i="1"/>
  <c r="F15" i="1" s="1"/>
  <c r="E14" i="1"/>
  <c r="F14" i="1" s="1"/>
  <c r="E13" i="1"/>
  <c r="E12" i="1"/>
  <c r="E11" i="1"/>
  <c r="E10" i="1"/>
  <c r="E9" i="1"/>
  <c r="E8" i="1"/>
  <c r="F8" i="1" s="1"/>
  <c r="E7" i="1"/>
  <c r="E6" i="1"/>
  <c r="F6" i="1" s="1"/>
  <c r="E5" i="1"/>
  <c r="F5" i="1" s="1"/>
  <c r="E4" i="1"/>
  <c r="F4" i="1" s="1"/>
  <c r="E3" i="1"/>
  <c r="F3" i="1" s="1"/>
  <c r="E2" i="1"/>
  <c r="F2" i="1" s="1"/>
  <c r="F25" i="1"/>
  <c r="F24" i="1"/>
  <c r="F23" i="1"/>
  <c r="F22" i="1"/>
  <c r="F21" i="1"/>
  <c r="F19" i="1"/>
  <c r="F18" i="1"/>
  <c r="F13" i="1"/>
  <c r="F12" i="1"/>
  <c r="F11" i="1"/>
  <c r="F10" i="1"/>
  <c r="F9" i="1"/>
  <c r="F7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<sst xmlns="http://schemas.openxmlformats.org/spreadsheetml/2006/main" count="34" uniqueCount="34">
  <si>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</si>
  <si>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</si>
  <si>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</si>
  <si>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</si>
  <si>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</si>
  <si>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</si>
  <si>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</si>
  <si>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</si>
  <si>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</si>
  <si>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</si>
  <si>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</si>
  <si>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</si>
  <si>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</si>
  <si>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</si>
  <si>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</si>
  <si>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</si>
  <si>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</si>
  <si>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</si>
  <si>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</si>
  <si>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</si>
  <si>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</si>
  <si>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</si>
  <si>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</si>
  <si>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</si>
  <si>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</si>
  <si>
    <t>상장주식수</t>
  </si>
  <si>
    <t>4Q_income</t>
  </si>
  <si>
    <t>목표가</t>
  </si>
  <si>
    <t>2025.4Q</t>
  </si>
  <si>
    <t>2025.3Q</t>
  </si>
  <si>
    <t>2026.1Q</t>
    <phoneticPr fontId="18" type="noConversion"/>
  </si>
  <si>
    <t>2026.2Q</t>
    <phoneticPr fontId="18" type="noConversion"/>
  </si>
  <si>
    <t xml:space="preserve">2,169.0	</t>
    <phoneticPr fontId="18" type="noConversion"/>
  </si>
  <si>
    <t xml:space="preserve">2,370.5	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</si>
</sst>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" fontId="0" fillId="0" borderId="0" xfId="0" applyNumberFormat="1">
      <alignment vertical="center"/>
    </xf>
    <xf numFmtId="41" fontId="0" fillId="0" borderId="10" xfId="42" applyFont="1" applyBorder="1">
      <alignment vertical="center"/>
    </xf>
    <xf numFmtId="41" fontId="0" fillId="33" borderId="10" xfId="42" applyFont="1" applyFill="1" applyBorder="1">
      <alignment vertical="center"/>
    </xf>
    <xf numFmtId="0" fontId="0" fillId="0" borderId="10" xfId="0" applyBorder="1">
      <alignment vertical="center"/>
    </xf>
    <xf numFmtId="3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41" fontId="14" fillId="33" borderId="10" xfId="42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41" fontId="14" fillId="0" borderId="10" xfId="42" applyFont="1" applyBorder="1" applyAlignment="1">
      <alignment horizontal="right" vertical="center"/>
    </xf>
    <xf numFmtId="41" fontId="0" fillId="0" borderId="10" xfId="42" applyFont="1" applyBorder="1" applyAlignment="1">
      <alignment horizontal="righ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7"/>
  <sheetViews>
    <sheetView tabSelected="1" workbookViewId="0">
      <selection activeCell="F2" sqref="F2:F3"/>
    </sheetView>
  </sheetViews>
  <sheetFormatPr defaultRowHeight="17" x14ac:dyDescent="0.45"/>
  <cols>
    <col min="2" max="2" width="12.83203125" bestFit="1" customWidth="1"/>
    <col min="3" max="4" width="9.08203125" bestFit="1" customWidth="1"/>
  </cols>
  <sheetData>
    <row r="1" spans="1:6" x14ac:dyDescent="0.45">
      <c r="A1" s="8" t="s">
        <v>0</v>
      </c>
      <c r="B1" s="8" t="s">
        <v>25</v>
      </c>
      <c r="C1" s="8" t="s">
        <v>1</v>
      </c>
      <c r="D1" s="8" t="s">
        <v>2</v>
      </c>
      <c r="E1" s="8" t="s">
        <v>26</v>
      </c>
      <c r="F1" s="8" t="s">
        <v>27</v>
      </c>
    </row>
    <row r="2" spans="1:6" x14ac:dyDescent="0.45">
      <c r="A2" s="4" t="s">
        <v>31</v>
      </c>
      <c r="B2" s="5">
        <v>74693696</v>
      </c>
      <c r="C2" s="9">
        <v>2969.2</v>
      </c>
      <c r="D2" s="9" t="s">
        <v>33</v>
      </c>
      <c r="E2" s="10">
        <f>(C2*2+C3*2)</f>
        <v>11338.4</v>
      </c>
      <c r="F2" s="10">
        <f>E2*100000000/B2*10</f>
        <v>151798.62032801268</v>
      </c>
    </row>
    <row r="3" spans="1:6" x14ac:dyDescent="0.45">
      <c r="A3" s="4" t="s">
        <v>30</v>
      </c>
      <c r="B3" s="5">
        <v>74693696</v>
      </c>
      <c r="C3" s="9">
        <v>2700</v>
      </c>
      <c r="D3" s="9" t="s">
        <v>32</v>
      </c>
      <c r="E3" s="10">
        <f>(C2*2+C3*2)</f>
        <v>11338.4</v>
      </c>
      <c r="F3" s="10">
        <f t="shared" ref="F3:F25" si="0">E3*100000000/B3*10</f>
        <v>151798.62032801268</v>
      </c>
    </row>
    <row r="4" spans="1:6" x14ac:dyDescent="0.45">
      <c r="A4" s="6" t="s">
        <v>28</v>
      </c>
      <c r="B4" s="5">
        <v>74693696</v>
      </c>
      <c r="C4" s="7">
        <v>2206.1</v>
      </c>
      <c r="D4" s="7">
        <v>1838.8</v>
      </c>
      <c r="E4" s="3">
        <f>(C3*2+C4+C2)</f>
        <v>10575.3</v>
      </c>
      <c r="F4" s="3">
        <f t="shared" si="0"/>
        <v>141582.22937582308</v>
      </c>
    </row>
    <row r="5" spans="1:6" x14ac:dyDescent="0.45">
      <c r="A5" s="4" t="s">
        <v>29</v>
      </c>
      <c r="B5" s="5">
        <v>74693696</v>
      </c>
      <c r="C5" s="2"/>
      <c r="D5" s="2"/>
      <c r="E5" s="2">
        <f>(C3+C4+C5*2)</f>
        <v>4906.1000000000004</v>
      </c>
      <c r="F5" s="2">
        <f t="shared" si="0"/>
        <v>65682.919211816756</v>
      </c>
    </row>
    <row r="6" spans="1:6" x14ac:dyDescent="0.45">
      <c r="A6" s="4" t="s">
        <v>24</v>
      </c>
      <c r="B6" s="5">
        <v>74693696</v>
      </c>
      <c r="C6" s="2"/>
      <c r="D6" s="2"/>
      <c r="E6" s="2">
        <f t="shared" ref="E6:E25" si="1">(C4+C5+C6*2)</f>
        <v>2206.1</v>
      </c>
      <c r="F6" s="2">
        <f t="shared" si="0"/>
        <v>29535.290367744019</v>
      </c>
    </row>
    <row r="7" spans="1:6" x14ac:dyDescent="0.45">
      <c r="A7" s="4" t="s">
        <v>3</v>
      </c>
      <c r="B7" s="5">
        <v>74693696</v>
      </c>
      <c r="C7" s="2"/>
      <c r="D7" s="2"/>
      <c r="E7" s="2">
        <f t="shared" si="1"/>
        <v>0</v>
      </c>
      <c r="F7" s="2">
        <f t="shared" si="0"/>
        <v>0</v>
      </c>
    </row>
    <row r="8" spans="1:6" x14ac:dyDescent="0.45">
      <c r="A8" s="4" t="s">
        <v>4</v>
      </c>
      <c r="B8" s="5">
        <v>74693696</v>
      </c>
      <c r="C8" s="2"/>
      <c r="D8" s="2"/>
      <c r="E8" s="2">
        <f t="shared" si="1"/>
        <v>0</v>
      </c>
      <c r="F8" s="2">
        <f t="shared" si="0"/>
        <v>0</v>
      </c>
    </row>
    <row r="9" spans="1:6" x14ac:dyDescent="0.45">
      <c r="A9" s="4" t="s">
        <v>5</v>
      </c>
      <c r="B9" s="5">
        <v>74693696</v>
      </c>
      <c r="C9" s="2"/>
      <c r="D9" s="2"/>
      <c r="E9" s="2">
        <f t="shared" si="1"/>
        <v>0</v>
      </c>
      <c r="F9" s="2">
        <f t="shared" si="0"/>
        <v>0</v>
      </c>
    </row>
    <row r="10" spans="1:6" x14ac:dyDescent="0.45">
      <c r="A10" s="4" t="s">
        <v>6</v>
      </c>
      <c r="B10" s="5">
        <v>74693696</v>
      </c>
      <c r="C10" s="2"/>
      <c r="D10" s="2"/>
      <c r="E10" s="2">
        <f t="shared" si="1"/>
        <v>0</v>
      </c>
      <c r="F10" s="2">
        <f t="shared" si="0"/>
        <v>0</v>
      </c>
    </row>
    <row r="11" spans="1:6" x14ac:dyDescent="0.45">
      <c r="A11" s="4" t="s">
        <v>7</v>
      </c>
      <c r="B11" s="5">
        <v>74693696</v>
      </c>
      <c r="C11" s="2"/>
      <c r="D11" s="2"/>
      <c r="E11" s="2">
        <f t="shared" si="1"/>
        <v>0</v>
      </c>
      <c r="F11" s="2">
        <f t="shared" si="0"/>
        <v>0</v>
      </c>
    </row>
    <row r="12" spans="1:6" x14ac:dyDescent="0.45">
      <c r="A12" s="4" t="s">
        <v>8</v>
      </c>
      <c r="B12" s="5">
        <v>74693696</v>
      </c>
      <c r="C12" s="2"/>
      <c r="D12" s="2"/>
      <c r="E12" s="2">
        <f t="shared" si="1"/>
        <v>0</v>
      </c>
      <c r="F12" s="2">
        <f t="shared" si="0"/>
        <v>0</v>
      </c>
    </row>
    <row r="13" spans="1:6" x14ac:dyDescent="0.45">
      <c r="A13" s="4" t="s">
        <v>9</v>
      </c>
      <c r="B13" s="5">
        <v>74693696</v>
      </c>
      <c r="C13" s="2"/>
      <c r="D13" s="2"/>
      <c r="E13" s="2">
        <f t="shared" si="1"/>
        <v>0</v>
      </c>
      <c r="F13" s="2">
        <f t="shared" si="0"/>
        <v>0</v>
      </c>
    </row>
    <row r="14" spans="1:6" x14ac:dyDescent="0.45">
      <c r="A14" s="4" t="s">
        <v>10</v>
      </c>
      <c r="B14" s="5">
        <v>74693696</v>
      </c>
      <c r="C14" s="2"/>
      <c r="D14" s="2"/>
      <c r="E14" s="2">
        <f t="shared" si="1"/>
        <v>0</v>
      </c>
      <c r="F14" s="2">
        <f t="shared" si="0"/>
        <v>0</v>
      </c>
    </row>
    <row r="15" spans="1:6" x14ac:dyDescent="0.45">
      <c r="A15" s="4" t="s">
        <v>11</v>
      </c>
      <c r="B15" s="5">
        <v>74693696</v>
      </c>
      <c r="C15" s="2"/>
      <c r="D15" s="2"/>
      <c r="E15" s="2">
        <f t="shared" si="1"/>
        <v>0</v>
      </c>
      <c r="F15" s="2">
        <f t="shared" si="0"/>
        <v>0</v>
      </c>
    </row>
    <row r="16" spans="1:6" x14ac:dyDescent="0.45">
      <c r="A16" s="4" t="s">
        <v>12</v>
      </c>
      <c r="B16" s="5">
        <v>74693696</v>
      </c>
      <c r="C16" s="2"/>
      <c r="D16" s="2"/>
      <c r="E16" s="2">
        <f t="shared" si="1"/>
        <v>0</v>
      </c>
      <c r="F16" s="2">
        <f t="shared" si="0"/>
        <v>0</v>
      </c>
    </row>
    <row r="17" spans="1:6" x14ac:dyDescent="0.45">
      <c r="A17" s="4" t="s">
        <v>13</v>
      </c>
      <c r="B17" s="5">
        <v>74693696</v>
      </c>
      <c r="C17" s="2"/>
      <c r="D17" s="2"/>
      <c r="E17" s="2">
        <f t="shared" si="1"/>
        <v>0</v>
      </c>
      <c r="F17" s="2">
        <f t="shared" si="0"/>
        <v>0</v>
      </c>
    </row>
    <row r="18" spans="1:6" x14ac:dyDescent="0.45">
      <c r="A18" s="4" t="s">
        <v>14</v>
      </c>
      <c r="B18" s="5">
        <v>74693696</v>
      </c>
      <c r="C18" s="2"/>
      <c r="D18" s="2"/>
      <c r="E18" s="2">
        <f t="shared" si="1"/>
        <v>0</v>
      </c>
      <c r="F18" s="2">
        <f t="shared" si="0"/>
        <v>0</v>
      </c>
    </row>
    <row r="19" spans="1:6" x14ac:dyDescent="0.45">
      <c r="A19" s="4" t="s">
        <v>15</v>
      </c>
      <c r="B19" s="5">
        <v>74693696</v>
      </c>
      <c r="C19" s="2"/>
      <c r="D19" s="2"/>
      <c r="E19" s="2">
        <f t="shared" si="1"/>
        <v>0</v>
      </c>
      <c r="F19" s="2">
        <f t="shared" si="0"/>
        <v>0</v>
      </c>
    </row>
    <row r="20" spans="1:6" x14ac:dyDescent="0.45">
      <c r="A20" s="4" t="s">
        <v>16</v>
      </c>
      <c r="B20" s="5">
        <v>74693696</v>
      </c>
      <c r="C20" s="2"/>
      <c r="D20" s="2"/>
      <c r="E20" s="2">
        <f t="shared" si="1"/>
        <v>0</v>
      </c>
      <c r="F20" s="2">
        <f t="shared" si="0"/>
        <v>0</v>
      </c>
    </row>
    <row r="21" spans="1:6" x14ac:dyDescent="0.45">
      <c r="A21" s="4" t="s">
        <v>17</v>
      </c>
      <c r="B21" s="5">
        <v>74693696</v>
      </c>
      <c r="C21" s="2"/>
      <c r="D21" s="2"/>
      <c r="E21" s="2">
        <f t="shared" si="1"/>
        <v>0</v>
      </c>
      <c r="F21" s="2">
        <f t="shared" si="0"/>
        <v>0</v>
      </c>
    </row>
    <row r="22" spans="1:6" x14ac:dyDescent="0.45">
      <c r="A22" s="4" t="s">
        <v>18</v>
      </c>
      <c r="B22" s="5">
        <v>74693696</v>
      </c>
      <c r="C22" s="2"/>
      <c r="D22" s="2"/>
      <c r="E22" s="2">
        <f t="shared" si="1"/>
        <v>0</v>
      </c>
      <c r="F22" s="2">
        <f t="shared" si="0"/>
        <v>0</v>
      </c>
    </row>
    <row r="23" spans="1:6" x14ac:dyDescent="0.45">
      <c r="A23" s="4" t="s">
        <v>19</v>
      </c>
      <c r="B23" s="5">
        <v>74693696</v>
      </c>
      <c r="C23" s="2"/>
      <c r="D23" s="2"/>
      <c r="E23" s="2">
        <f t="shared" si="1"/>
        <v>0</v>
      </c>
      <c r="F23" s="2">
        <f t="shared" si="0"/>
        <v>0</v>
      </c>
    </row>
    <row r="24" spans="1:6" x14ac:dyDescent="0.45">
      <c r="A24" s="4" t="s">
        <v>20</v>
      </c>
      <c r="B24" s="5">
        <v>74693696</v>
      </c>
      <c r="C24" s="2"/>
      <c r="D24" s="2"/>
      <c r="E24" s="2">
        <f t="shared" si="1"/>
        <v>0</v>
      </c>
      <c r="F24" s="2">
        <f t="shared" si="0"/>
        <v>0</v>
      </c>
    </row>
    <row r="25" spans="1:6" x14ac:dyDescent="0.45">
      <c r="A25" s="4" t="s">
        <v>21</v>
      </c>
      <c r="B25" s="5">
        <v>74693696</v>
      </c>
      <c r="C25" s="2"/>
      <c r="D25" s="2"/>
      <c r="E25" s="2">
        <f t="shared" si="1"/>
        <v>0</v>
      </c>
      <c r="F25" s="2">
        <f t="shared" si="0"/>
        <v>0</v>
      </c>
    </row>
    <row r="26" spans="1:6" x14ac:dyDescent="0.45">
      <c r="A26" s="4" t="s">
        <v>22</v>
      </c>
      <c r="B26" s="5">
        <v>74693696</v>
      </c>
      <c r="C26" s="2"/>
      <c r="D26" s="2"/>
      <c r="F26" s="1"/>
    </row>
    <row r="27" spans="1:6" x14ac:dyDescent="0.45">
      <c r="A27" s="4" t="s">
        <v>23</v>
      </c>
      <c r="B27" s="5">
        <v>74693696</v>
      </c>
      <c r="C27" s="2"/>
      <c r="D27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삼성전기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2025-12-02T13:54:36Z</dcterms:modified>
</cp:coreProperties>
</file>