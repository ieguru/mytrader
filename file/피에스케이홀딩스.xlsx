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04910463-2FAF-4F7A-8E03-78D8B8F7D8E6}" xr6:coauthVersionLast="47" xr6:coauthVersionMax="47" xr10:uidLastSave="{00000000-0000-0000-0000-000000000000}"/>
  <bookViews>
    <workbookView xWindow="-98" yWindow="-98" windowWidth="28996" windowHeight="15675" xr2:uid="{D3AF1327-C308-42CF-AFA5-FE59593F7F78}"/>
  </bookViews>
  <sheets>
    <sheet name="피에스케이홀딩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4" i="1"/>
  <c r="E3" i="1"/>
  <c r="F3" i="1" s="1"/>
  <c r="E2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<sst xmlns="http://schemas.openxmlformats.org/spreadsheetml/2006/main" count="30" uniqueCount="30">
  <si>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</si>
  <si>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</si>
  <si>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</si>
  <si>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</si>
  <si>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</si>
  <si>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</si>
  <si>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</si>
  <si>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</si>
  <si>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</si>
  <si>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</si>
  <si>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</si>
  <si>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</si>
  <si>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</si>
  <si>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</si>
  <si>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</si>
  <si>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</si>
  <si>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</si>
  <si>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</si>
  <si>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</si>
  <si>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</si>
  <si>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</si>
  <si>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</si>
  <si>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</si>
  <si>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</si>
  <si>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</si>
  <si>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2025.3Q</t>
    <phoneticPr fontId="18" type="noConversion"/>
  </si>
  <si>
    <t>2025.4Q</t>
  </si>
  <si>
    <t>2026.1Q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</si>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</sst>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0" fillId="0" borderId="0" xfId="42" applyFont="1">
      <alignment vertical="center"/>
    </xf>
    <xf numFmtId="41" fontId="14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8"/>
  <sheetViews>
    <sheetView tabSelected="1" workbookViewId="0">
      <selection activeCell="M22" sqref="M22"/>
    </sheetView>
  </sheetViews>
  <sheetFormatPr defaultRowHeight="16.899999999999999" x14ac:dyDescent="0.6"/>
  <cols>
    <col min="2" max="2" width="12.375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29</v>
      </c>
      <c r="B2" s="1">
        <v>21562395</v>
      </c>
      <c r="C2" s="4">
        <v>373</v>
      </c>
      <c r="D2" s="4">
        <v>358</v>
      </c>
      <c r="E2" s="3">
        <f>(D2*2+D3*2)</f>
        <v>1260</v>
      </c>
      <c r="F2" s="3">
        <f>E2*100000000/B2*30</f>
        <v>175305.20148619855</v>
      </c>
    </row>
    <row r="3" spans="1:6" x14ac:dyDescent="0.6">
      <c r="A3" t="s">
        <v>28</v>
      </c>
      <c r="B3" s="1">
        <v>21562395</v>
      </c>
      <c r="C3" s="4">
        <v>198</v>
      </c>
      <c r="D3" s="4">
        <v>272</v>
      </c>
      <c r="E3" s="3">
        <f>(D2*2+D4*2)</f>
        <v>1064</v>
      </c>
      <c r="F3" s="3">
        <f t="shared" ref="F3:F25" si="0">E3*100000000/B3*30</f>
        <v>148035.50347723434</v>
      </c>
    </row>
    <row r="4" spans="1:6" x14ac:dyDescent="0.6">
      <c r="A4" t="s">
        <v>27</v>
      </c>
      <c r="B4" s="1">
        <v>21562395</v>
      </c>
      <c r="C4" s="4">
        <v>126</v>
      </c>
      <c r="D4" s="4">
        <v>174</v>
      </c>
      <c r="E4" s="3">
        <f>D3+D4*2+D2</f>
        <v>978</v>
      </c>
      <c r="F4" s="3">
        <f t="shared" si="0"/>
        <v>136070.22782023984</v>
      </c>
    </row>
    <row r="5" spans="1:6" x14ac:dyDescent="0.6">
      <c r="A5" t="s">
        <v>26</v>
      </c>
      <c r="B5" s="1">
        <v>21562395</v>
      </c>
      <c r="C5" s="3">
        <v>141.69999999999999</v>
      </c>
      <c r="D5" s="3">
        <v>197.6</v>
      </c>
      <c r="E5" s="3">
        <f t="shared" ref="E5:E25" si="1">D4+D5*2+D3</f>
        <v>841.2</v>
      </c>
      <c r="F5" s="3">
        <f t="shared" si="0"/>
        <v>117037.09165888112</v>
      </c>
    </row>
    <row r="6" spans="1:6" x14ac:dyDescent="0.6">
      <c r="A6" t="s">
        <v>25</v>
      </c>
      <c r="B6" s="1">
        <v>21562395</v>
      </c>
      <c r="C6" s="3">
        <v>412.4</v>
      </c>
      <c r="D6" s="3">
        <v>389.2</v>
      </c>
      <c r="E6" s="3">
        <f t="shared" si="1"/>
        <v>1150</v>
      </c>
      <c r="F6" s="3">
        <f t="shared" si="0"/>
        <v>160000.77913422883</v>
      </c>
    </row>
    <row r="7" spans="1:6" x14ac:dyDescent="0.6">
      <c r="A7" t="s">
        <v>6</v>
      </c>
      <c r="B7" s="1">
        <v>21562395</v>
      </c>
      <c r="C7" s="3">
        <v>84.5</v>
      </c>
      <c r="D7" s="3">
        <v>173.8</v>
      </c>
      <c r="E7" s="3">
        <f t="shared" si="1"/>
        <v>934.4</v>
      </c>
      <c r="F7" s="3">
        <f t="shared" si="0"/>
        <v>130004.11132436819</v>
      </c>
    </row>
    <row r="8" spans="1:6" x14ac:dyDescent="0.6">
      <c r="A8" t="s">
        <v>7</v>
      </c>
      <c r="B8" s="1">
        <v>21562395</v>
      </c>
      <c r="C8" s="3">
        <v>95.4</v>
      </c>
      <c r="D8" s="3">
        <v>156.30000000000001</v>
      </c>
      <c r="E8" s="3">
        <f t="shared" si="1"/>
        <v>875.6</v>
      </c>
      <c r="F8" s="3">
        <f t="shared" si="0"/>
        <v>121823.20192167892</v>
      </c>
    </row>
    <row r="9" spans="1:6" x14ac:dyDescent="0.6">
      <c r="A9" t="s">
        <v>8</v>
      </c>
      <c r="B9" s="1">
        <v>21562395</v>
      </c>
      <c r="C9">
        <v>432.1</v>
      </c>
      <c r="D9">
        <v>418.5</v>
      </c>
      <c r="E9" s="3">
        <f t="shared" si="1"/>
        <v>1167.0999999999999</v>
      </c>
      <c r="F9" s="3">
        <f t="shared" si="0"/>
        <v>162379.92115439865</v>
      </c>
    </row>
    <row r="10" spans="1:6" x14ac:dyDescent="0.6">
      <c r="A10" t="s">
        <v>9</v>
      </c>
      <c r="B10" s="1">
        <v>21562395</v>
      </c>
      <c r="C10">
        <v>143</v>
      </c>
      <c r="D10">
        <v>198</v>
      </c>
      <c r="E10" s="3">
        <f t="shared" si="1"/>
        <v>970.8</v>
      </c>
      <c r="F10" s="3">
        <f t="shared" si="0"/>
        <v>135068.48381174725</v>
      </c>
    </row>
    <row r="11" spans="1:6" x14ac:dyDescent="0.6">
      <c r="A11" t="s">
        <v>10</v>
      </c>
      <c r="B11" s="1">
        <v>21562395</v>
      </c>
      <c r="C11">
        <v>156</v>
      </c>
      <c r="D11">
        <v>152</v>
      </c>
      <c r="E11" s="3">
        <f t="shared" si="1"/>
        <v>920.5</v>
      </c>
      <c r="F11" s="3">
        <f t="shared" si="0"/>
        <v>128070.18886352837</v>
      </c>
    </row>
    <row r="12" spans="1:6" x14ac:dyDescent="0.6">
      <c r="A12" t="s">
        <v>11</v>
      </c>
      <c r="B12" s="1">
        <v>21562395</v>
      </c>
      <c r="C12">
        <v>154</v>
      </c>
      <c r="D12">
        <v>190</v>
      </c>
      <c r="E12" s="3">
        <f t="shared" si="1"/>
        <v>730</v>
      </c>
      <c r="F12" s="3">
        <f t="shared" si="0"/>
        <v>101565.71197216265</v>
      </c>
    </row>
    <row r="13" spans="1:6" x14ac:dyDescent="0.6">
      <c r="A13" t="s">
        <v>12</v>
      </c>
      <c r="B13" s="1">
        <v>21562395</v>
      </c>
      <c r="C13">
        <v>140</v>
      </c>
      <c r="D13">
        <v>206</v>
      </c>
      <c r="E13" s="3">
        <f t="shared" si="1"/>
        <v>754</v>
      </c>
      <c r="F13" s="3">
        <f t="shared" si="0"/>
        <v>104904.85866713786</v>
      </c>
    </row>
    <row r="14" spans="1:6" x14ac:dyDescent="0.6">
      <c r="A14" t="s">
        <v>13</v>
      </c>
      <c r="B14" s="1">
        <v>21562395</v>
      </c>
      <c r="C14">
        <v>9</v>
      </c>
      <c r="D14">
        <v>77</v>
      </c>
      <c r="E14" s="3">
        <f t="shared" si="1"/>
        <v>550</v>
      </c>
      <c r="F14" s="3">
        <f t="shared" si="0"/>
        <v>76522.111759848573</v>
      </c>
    </row>
    <row r="15" spans="1:6" x14ac:dyDescent="0.6">
      <c r="A15" t="s">
        <v>14</v>
      </c>
      <c r="B15" s="1">
        <v>21562395</v>
      </c>
      <c r="C15">
        <v>85</v>
      </c>
      <c r="D15">
        <v>57</v>
      </c>
      <c r="E15" s="3">
        <f t="shared" si="1"/>
        <v>397</v>
      </c>
      <c r="F15" s="3">
        <f t="shared" si="0"/>
        <v>55235.051579381601</v>
      </c>
    </row>
    <row r="16" spans="1:6" x14ac:dyDescent="0.6">
      <c r="A16" t="s">
        <v>15</v>
      </c>
      <c r="B16" s="1">
        <v>21562395</v>
      </c>
      <c r="C16">
        <v>35</v>
      </c>
      <c r="D16">
        <v>87</v>
      </c>
      <c r="E16" s="3">
        <f t="shared" si="1"/>
        <v>308</v>
      </c>
      <c r="F16" s="3">
        <f t="shared" si="0"/>
        <v>42852.382585515203</v>
      </c>
    </row>
    <row r="17" spans="1:6" x14ac:dyDescent="0.6">
      <c r="A17" t="s">
        <v>16</v>
      </c>
      <c r="B17" s="1">
        <v>21562395</v>
      </c>
      <c r="C17">
        <v>97</v>
      </c>
      <c r="D17">
        <v>173</v>
      </c>
      <c r="E17" s="3">
        <f t="shared" si="1"/>
        <v>490</v>
      </c>
      <c r="F17" s="3">
        <f t="shared" si="0"/>
        <v>68174.245022410556</v>
      </c>
    </row>
    <row r="18" spans="1:6" x14ac:dyDescent="0.6">
      <c r="A18" t="s">
        <v>17</v>
      </c>
      <c r="B18" s="1">
        <v>21562395</v>
      </c>
      <c r="C18">
        <v>27</v>
      </c>
      <c r="D18">
        <v>126</v>
      </c>
      <c r="E18" s="3">
        <f t="shared" si="1"/>
        <v>512</v>
      </c>
      <c r="F18" s="3">
        <f t="shared" si="0"/>
        <v>71235.129492804495</v>
      </c>
    </row>
    <row r="19" spans="1:6" x14ac:dyDescent="0.6">
      <c r="A19" t="s">
        <v>18</v>
      </c>
      <c r="B19" s="1">
        <v>21562395</v>
      </c>
      <c r="C19">
        <v>34</v>
      </c>
      <c r="D19">
        <v>68</v>
      </c>
      <c r="E19" s="3">
        <f t="shared" si="1"/>
        <v>435</v>
      </c>
      <c r="F19" s="3">
        <f t="shared" si="0"/>
        <v>60522.033846425686</v>
      </c>
    </row>
    <row r="20" spans="1:6" x14ac:dyDescent="0.6">
      <c r="A20" t="s">
        <v>19</v>
      </c>
      <c r="B20" s="1">
        <v>21562395</v>
      </c>
      <c r="C20">
        <v>11</v>
      </c>
      <c r="D20">
        <v>40</v>
      </c>
      <c r="E20" s="3">
        <f t="shared" si="1"/>
        <v>274</v>
      </c>
      <c r="F20" s="3">
        <f t="shared" si="0"/>
        <v>38121.924767633653</v>
      </c>
    </row>
    <row r="21" spans="1:6" x14ac:dyDescent="0.6">
      <c r="A21" t="s">
        <v>20</v>
      </c>
      <c r="B21" s="1">
        <v>21562395</v>
      </c>
      <c r="C21">
        <v>129</v>
      </c>
      <c r="D21">
        <v>115</v>
      </c>
      <c r="E21" s="3">
        <f t="shared" si="1"/>
        <v>338</v>
      </c>
      <c r="F21" s="3">
        <f t="shared" si="0"/>
        <v>47026.315954234218</v>
      </c>
    </row>
    <row r="22" spans="1:6" x14ac:dyDescent="0.6">
      <c r="A22" t="s">
        <v>21</v>
      </c>
      <c r="B22" s="1">
        <v>21562395</v>
      </c>
      <c r="C22">
        <v>67</v>
      </c>
      <c r="D22">
        <v>70</v>
      </c>
      <c r="E22" s="3">
        <f t="shared" si="1"/>
        <v>295</v>
      </c>
      <c r="F22" s="3">
        <f t="shared" si="0"/>
        <v>41043.678125736966</v>
      </c>
    </row>
    <row r="23" spans="1:6" x14ac:dyDescent="0.6">
      <c r="A23" t="s">
        <v>22</v>
      </c>
      <c r="B23" s="1">
        <v>21562395</v>
      </c>
      <c r="C23">
        <v>39</v>
      </c>
      <c r="D23">
        <v>194</v>
      </c>
      <c r="E23" s="3">
        <f t="shared" si="1"/>
        <v>573</v>
      </c>
      <c r="F23" s="3">
        <f t="shared" si="0"/>
        <v>79722.127342533146</v>
      </c>
    </row>
    <row r="24" spans="1:6" x14ac:dyDescent="0.6">
      <c r="A24" t="s">
        <v>23</v>
      </c>
      <c r="B24" s="1">
        <v>21562395</v>
      </c>
      <c r="C24">
        <v>-9</v>
      </c>
      <c r="D24">
        <v>86</v>
      </c>
      <c r="E24" s="3">
        <f t="shared" si="1"/>
        <v>436</v>
      </c>
      <c r="F24" s="3">
        <f t="shared" si="0"/>
        <v>60661.164958716319</v>
      </c>
    </row>
    <row r="25" spans="1:6" x14ac:dyDescent="0.6">
      <c r="A25" t="s">
        <v>24</v>
      </c>
      <c r="B25" s="1">
        <v>21562395</v>
      </c>
      <c r="C25">
        <v>-17</v>
      </c>
      <c r="D25">
        <v>30</v>
      </c>
      <c r="E25" s="3">
        <f t="shared" si="1"/>
        <v>340</v>
      </c>
      <c r="F25" s="3">
        <f t="shared" si="0"/>
        <v>47304.578178815485</v>
      </c>
    </row>
    <row r="26" spans="1:6" x14ac:dyDescent="0.6">
      <c r="B26" s="1"/>
      <c r="F26" s="2"/>
    </row>
    <row r="27" spans="1:6" x14ac:dyDescent="0.6">
      <c r="B27" s="1"/>
      <c r="F27" s="2"/>
    </row>
    <row r="28" spans="1:6" x14ac:dyDescent="0.6">
      <c r="B28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피에스케이홀딩스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2026-06-09T23:08:04Z</dcterms:modified>
</cp:coreProperties>
</file>