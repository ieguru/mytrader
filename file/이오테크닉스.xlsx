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9F93434-5835-4A8E-AA6C-6D14448D0714}" xr6:coauthVersionLast="47" xr6:coauthVersionMax="47" xr10:uidLastSave="{00000000-0000-0000-0000-000000000000}"/>
  <bookViews>
    <workbookView xWindow="-98" yWindow="-98" windowWidth="28996" windowHeight="15675" xr2:uid="{D3AF1327-C308-42CF-AFA5-FE59593F7F78}"/>
  </bookViews>
  <sheets>
    <sheet name="이오테크닉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<sst xmlns="http://schemas.openxmlformats.org/spreadsheetml/2006/main" count="33" uniqueCount="33">
  <si>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</si>
  <si>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</si>
  <si>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</si>
  <si>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</si>
  <si>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</si>
  <si>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</si>
  <si>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</si>
  <si>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</si>
  <si>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</si>
  <si>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</si>
  <si>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</si>
  <si>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</si>
  <si>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</si>
  <si>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</si>
  <si>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</si>
  <si>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</si>
  <si>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</si>
  <si>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</si>
  <si>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</si>
  <si>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</si>
  <si>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</si>
  <si>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</si>
  <si>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</si>
  <si>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</si>
  <si>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</si>
  <si>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</si>
  <si>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</si>
  <si>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</si>
  <si>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2025.3Q</t>
    <phoneticPr fontId="18" type="noConversion"/>
  </si>
  <si>
    <t>2025.4Q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</si>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</sst>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F2" sqref="F2:F26"/>
    </sheetView>
  </sheetViews>
  <sheetFormatPr defaultRowHeight="16.899999999999999" x14ac:dyDescent="0.6"/>
  <cols>
    <col min="2" max="2" width="12.312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30</v>
      </c>
      <c r="B2" s="1">
        <v>12319550</v>
      </c>
      <c r="C2" s="1">
        <v>363</v>
      </c>
      <c r="D2" s="1">
        <v>305</v>
      </c>
      <c r="E2">
        <f>(C3*2+C2*2)</f>
        <v>1312</v>
      </c>
      <c r="F2" s="2">
        <f>E2*100000000/B2*30</f>
        <v>319492.18924392533</v>
      </c>
    </row>
    <row r="3" spans="1:6" x14ac:dyDescent="0.6">
      <c r="A3" t="s">
        <v>31</v>
      </c>
      <c r="B3" s="1">
        <v>12319550</v>
      </c>
      <c r="C3">
        <v>293</v>
      </c>
      <c r="D3">
        <v>234</v>
      </c>
      <c r="E3">
        <f>(C2*2+C3*2)</f>
        <v>1312</v>
      </c>
      <c r="F3" s="2">
        <f t="shared" ref="F3:F26" si="0">E3*100000000/B3*30</f>
        <v>319492.18924392533</v>
      </c>
    </row>
    <row r="4" spans="1:6" x14ac:dyDescent="0.6">
      <c r="A4" t="s">
        <v>32</v>
      </c>
      <c r="B4" s="1">
        <v>12319550</v>
      </c>
      <c r="C4" s="1">
        <v>249</v>
      </c>
      <c r="D4" s="1">
        <v>225</v>
      </c>
      <c r="E4">
        <f>(C2+C3+C4*2)</f>
        <v>1154</v>
      </c>
      <c r="F4" s="2">
        <f t="shared" si="0"/>
        <v>281016.75791729405</v>
      </c>
    </row>
    <row r="5" spans="1:6" x14ac:dyDescent="0.6">
      <c r="A5" t="s">
        <v>29</v>
      </c>
      <c r="B5" s="1">
        <v>12319550</v>
      </c>
      <c r="C5">
        <v>144</v>
      </c>
      <c r="D5">
        <v>171</v>
      </c>
      <c r="E5">
        <f t="shared" ref="E5:E27" si="1">(C3+C4+C5*2)</f>
        <v>830</v>
      </c>
      <c r="F5" s="2">
        <f t="shared" si="0"/>
        <v>202117.77215888569</v>
      </c>
    </row>
    <row r="6" spans="1:6" x14ac:dyDescent="0.6">
      <c r="A6" t="s">
        <v>28</v>
      </c>
      <c r="B6" s="1">
        <v>12319550</v>
      </c>
      <c r="C6" s="1">
        <v>260</v>
      </c>
      <c r="D6" s="1">
        <v>231</v>
      </c>
      <c r="E6">
        <f t="shared" si="1"/>
        <v>913</v>
      </c>
      <c r="F6" s="2">
        <f t="shared" si="0"/>
        <v>222329.54937477424</v>
      </c>
    </row>
    <row r="7" spans="1:6" x14ac:dyDescent="0.6">
      <c r="A7" t="s">
        <v>6</v>
      </c>
      <c r="B7" s="1">
        <v>12319550</v>
      </c>
      <c r="C7">
        <v>258</v>
      </c>
      <c r="D7">
        <v>25</v>
      </c>
      <c r="E7">
        <f t="shared" si="1"/>
        <v>920</v>
      </c>
      <c r="F7" s="2">
        <f t="shared" si="0"/>
        <v>224034.15709177687</v>
      </c>
    </row>
    <row r="8" spans="1:6" x14ac:dyDescent="0.6">
      <c r="A8" t="s">
        <v>7</v>
      </c>
      <c r="B8" s="1">
        <v>12319550</v>
      </c>
      <c r="C8" s="1">
        <v>144</v>
      </c>
      <c r="D8" s="1">
        <v>144</v>
      </c>
      <c r="E8">
        <f t="shared" si="1"/>
        <v>806</v>
      </c>
      <c r="F8" s="2">
        <f t="shared" si="0"/>
        <v>196273.40284344801</v>
      </c>
    </row>
    <row r="9" spans="1:6" x14ac:dyDescent="0.6">
      <c r="A9" t="s">
        <v>8</v>
      </c>
      <c r="B9" s="1">
        <v>12319550</v>
      </c>
      <c r="C9" s="1">
        <v>86</v>
      </c>
      <c r="D9" s="1">
        <v>164</v>
      </c>
      <c r="E9">
        <f t="shared" si="1"/>
        <v>574</v>
      </c>
      <c r="F9" s="2">
        <f t="shared" si="0"/>
        <v>139777.83279421731</v>
      </c>
    </row>
    <row r="10" spans="1:6" x14ac:dyDescent="0.6">
      <c r="A10" t="s">
        <v>9</v>
      </c>
      <c r="B10" s="1">
        <v>12319550</v>
      </c>
      <c r="C10" s="1">
        <v>104</v>
      </c>
      <c r="D10" s="1">
        <v>47</v>
      </c>
      <c r="E10">
        <f t="shared" si="1"/>
        <v>438</v>
      </c>
      <c r="F10" s="2">
        <f t="shared" si="0"/>
        <v>106659.74000673727</v>
      </c>
    </row>
    <row r="11" spans="1:6" x14ac:dyDescent="0.6">
      <c r="A11" t="s">
        <v>10</v>
      </c>
      <c r="B11" s="1">
        <v>12319550</v>
      </c>
      <c r="C11" s="1">
        <v>66</v>
      </c>
      <c r="D11" s="1">
        <v>109</v>
      </c>
      <c r="E11">
        <f t="shared" si="1"/>
        <v>322</v>
      </c>
      <c r="F11" s="2">
        <f t="shared" si="0"/>
        <v>78411.954982121912</v>
      </c>
    </row>
    <row r="12" spans="1:6" x14ac:dyDescent="0.6">
      <c r="A12" t="s">
        <v>11</v>
      </c>
      <c r="B12" s="1">
        <v>12319550</v>
      </c>
      <c r="C12" s="1">
        <v>55</v>
      </c>
      <c r="D12" s="1">
        <v>105</v>
      </c>
      <c r="E12">
        <f t="shared" si="1"/>
        <v>280</v>
      </c>
      <c r="F12" s="2">
        <f t="shared" si="0"/>
        <v>68184.308680106013</v>
      </c>
    </row>
    <row r="13" spans="1:6" x14ac:dyDescent="0.6">
      <c r="A13" t="s">
        <v>12</v>
      </c>
      <c r="B13" s="1">
        <v>12319550</v>
      </c>
      <c r="C13" s="1">
        <v>48</v>
      </c>
      <c r="D13" s="1">
        <v>24</v>
      </c>
      <c r="E13">
        <f t="shared" si="1"/>
        <v>217</v>
      </c>
      <c r="F13" s="2">
        <f t="shared" si="0"/>
        <v>52842.839227082164</v>
      </c>
    </row>
    <row r="14" spans="1:6" x14ac:dyDescent="0.6">
      <c r="A14" t="s">
        <v>13</v>
      </c>
      <c r="B14" s="1">
        <v>12319550</v>
      </c>
      <c r="C14" s="1">
        <v>30</v>
      </c>
      <c r="D14" s="1">
        <v>79</v>
      </c>
      <c r="E14">
        <f t="shared" si="1"/>
        <v>163</v>
      </c>
      <c r="F14" s="2">
        <f t="shared" si="0"/>
        <v>39693.008267347432</v>
      </c>
    </row>
    <row r="15" spans="1:6" x14ac:dyDescent="0.6">
      <c r="A15" t="s">
        <v>14</v>
      </c>
      <c r="B15" s="1">
        <v>12319550</v>
      </c>
      <c r="C15" s="1">
        <v>109</v>
      </c>
      <c r="D15" s="1">
        <v>126</v>
      </c>
      <c r="E15">
        <f t="shared" si="1"/>
        <v>296</v>
      </c>
      <c r="F15" s="2">
        <f t="shared" si="0"/>
        <v>72080.554890397791</v>
      </c>
    </row>
    <row r="16" spans="1:6" x14ac:dyDescent="0.6">
      <c r="A16" t="s">
        <v>15</v>
      </c>
      <c r="B16" s="1">
        <v>12319550</v>
      </c>
      <c r="C16" s="1">
        <v>96</v>
      </c>
      <c r="D16" s="1">
        <v>135</v>
      </c>
      <c r="E16">
        <f t="shared" si="1"/>
        <v>331</v>
      </c>
      <c r="F16" s="2">
        <f t="shared" si="0"/>
        <v>80603.593475411035</v>
      </c>
    </row>
    <row r="17" spans="1:6" x14ac:dyDescent="0.6">
      <c r="A17" t="s">
        <v>16</v>
      </c>
      <c r="B17" s="1">
        <v>12319550</v>
      </c>
      <c r="C17" s="1">
        <v>158</v>
      </c>
      <c r="D17" s="1">
        <v>3</v>
      </c>
      <c r="E17">
        <f t="shared" si="1"/>
        <v>521</v>
      </c>
      <c r="F17" s="2">
        <f t="shared" si="0"/>
        <v>126871.51722262583</v>
      </c>
    </row>
    <row r="18" spans="1:6" x14ac:dyDescent="0.6">
      <c r="A18" t="s">
        <v>17</v>
      </c>
      <c r="B18" s="1">
        <v>12319550</v>
      </c>
      <c r="C18" s="1">
        <v>235</v>
      </c>
      <c r="D18" s="1">
        <v>312</v>
      </c>
      <c r="E18">
        <f t="shared" si="1"/>
        <v>724</v>
      </c>
      <c r="F18" s="2">
        <f t="shared" si="0"/>
        <v>176305.14101570268</v>
      </c>
    </row>
    <row r="19" spans="1:6" x14ac:dyDescent="0.6">
      <c r="A19" t="s">
        <v>18</v>
      </c>
      <c r="B19" s="1">
        <v>12319550</v>
      </c>
      <c r="C19" s="1">
        <v>310</v>
      </c>
      <c r="D19" s="1">
        <v>254</v>
      </c>
      <c r="E19">
        <f t="shared" si="1"/>
        <v>1013</v>
      </c>
      <c r="F19" s="2">
        <f t="shared" si="0"/>
        <v>246681.08818909782</v>
      </c>
    </row>
    <row r="20" spans="1:6" x14ac:dyDescent="0.6">
      <c r="A20" t="s">
        <v>19</v>
      </c>
      <c r="B20" s="1">
        <v>12319550</v>
      </c>
      <c r="C20" s="1">
        <v>225</v>
      </c>
      <c r="D20" s="1">
        <v>203</v>
      </c>
      <c r="E20">
        <f t="shared" si="1"/>
        <v>995</v>
      </c>
      <c r="F20" s="2">
        <f t="shared" si="0"/>
        <v>242297.81120251957</v>
      </c>
    </row>
    <row r="21" spans="1:6" x14ac:dyDescent="0.6">
      <c r="A21" t="s">
        <v>20</v>
      </c>
      <c r="B21" s="1">
        <v>12319550</v>
      </c>
      <c r="C21" s="1">
        <v>91</v>
      </c>
      <c r="D21" s="1">
        <v>103</v>
      </c>
      <c r="E21">
        <f t="shared" si="1"/>
        <v>717</v>
      </c>
      <c r="F21" s="2">
        <f t="shared" si="0"/>
        <v>174600.53329870003</v>
      </c>
    </row>
    <row r="22" spans="1:6" x14ac:dyDescent="0.6">
      <c r="A22" t="s">
        <v>21</v>
      </c>
      <c r="B22" s="1">
        <v>12319550</v>
      </c>
      <c r="C22" s="1">
        <v>235</v>
      </c>
      <c r="D22" s="1">
        <v>238</v>
      </c>
      <c r="E22">
        <f t="shared" si="1"/>
        <v>786</v>
      </c>
      <c r="F22" s="2">
        <f t="shared" si="0"/>
        <v>191403.0950805833</v>
      </c>
    </row>
    <row r="23" spans="1:6" x14ac:dyDescent="0.6">
      <c r="A23" t="s">
        <v>22</v>
      </c>
      <c r="B23" s="1">
        <v>12319550</v>
      </c>
      <c r="C23" s="1">
        <v>312</v>
      </c>
      <c r="D23" s="1">
        <v>215</v>
      </c>
      <c r="E23">
        <f t="shared" si="1"/>
        <v>950</v>
      </c>
      <c r="F23" s="2">
        <f t="shared" si="0"/>
        <v>231339.61873607396</v>
      </c>
    </row>
    <row r="24" spans="1:6" x14ac:dyDescent="0.6">
      <c r="A24" t="s">
        <v>23</v>
      </c>
      <c r="B24" s="1">
        <v>12319550</v>
      </c>
      <c r="C24" s="1">
        <v>143</v>
      </c>
      <c r="D24" s="1">
        <v>168</v>
      </c>
      <c r="E24">
        <f t="shared" si="1"/>
        <v>833</v>
      </c>
      <c r="F24" s="2">
        <f t="shared" si="0"/>
        <v>202848.31832331538</v>
      </c>
    </row>
    <row r="25" spans="1:6" x14ac:dyDescent="0.6">
      <c r="A25" t="s">
        <v>24</v>
      </c>
      <c r="B25" s="1">
        <v>12319550</v>
      </c>
      <c r="C25" s="1">
        <v>-38</v>
      </c>
      <c r="D25" s="1">
        <v>-128</v>
      </c>
      <c r="E25">
        <f t="shared" si="1"/>
        <v>379</v>
      </c>
      <c r="F25" s="2">
        <f t="shared" si="0"/>
        <v>92292.332106286354</v>
      </c>
    </row>
    <row r="26" spans="1:6" x14ac:dyDescent="0.6">
      <c r="A26" t="s">
        <v>25</v>
      </c>
      <c r="B26" s="1">
        <v>12319550</v>
      </c>
      <c r="C26" s="1">
        <v>202</v>
      </c>
      <c r="D26" s="1">
        <v>130</v>
      </c>
      <c r="E26">
        <f t="shared" si="1"/>
        <v>509</v>
      </c>
      <c r="F26" s="2">
        <f t="shared" si="0"/>
        <v>123949.33256490699</v>
      </c>
    </row>
    <row r="27" spans="1:6" x14ac:dyDescent="0.6">
      <c r="A27" t="s">
        <v>26</v>
      </c>
      <c r="B27" s="1">
        <v>12319550</v>
      </c>
      <c r="C27" s="1">
        <v>156</v>
      </c>
      <c r="D27" s="1">
        <v>107</v>
      </c>
      <c r="E27">
        <f t="shared" si="1"/>
        <v>476</v>
      </c>
      <c r="F27" s="2"/>
    </row>
    <row r="28" spans="1:6" x14ac:dyDescent="0.6">
      <c r="A28" t="s">
        <v>27</v>
      </c>
      <c r="B28" s="1">
        <v>12319550</v>
      </c>
      <c r="C28" s="1">
        <v>64</v>
      </c>
      <c r="D28" s="1">
        <v>106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이오테크닉스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2026-05-20T23:32:13Z</dcterms:modified>
</cp:coreProperties>
</file>