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0. JupyterNotebook\Finance\"/>
    </mc:Choice>
  </mc:AlternateContent>
  <xr:revisionPtr revIDLastSave="0" documentId="13_ncr:1_{AB5FCA6B-CEB7-434F-B486-F6B1C9AEFF78}" xr6:coauthVersionLast="47" xr6:coauthVersionMax="47" xr10:uidLastSave="{00000000-0000-0000-0000-000000000000}"/>
  <bookViews>
    <workbookView xWindow="7080" yWindow="4035" windowWidth="13328" windowHeight="11243" xr2:uid="{20458A90-AA7A-468A-9564-B848874231C8}"/>
  </bookViews>
  <sheets>
    <sheet name="F&amp;F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4" i="1"/>
  <c r="E3" i="1"/>
  <c r="E2" i="1"/>
</calcChain>
</file>

<file path=xl/sharedStrings.xml><?xml version="1.0" encoding="utf-8"?>
<sst xmlns="http://schemas.openxmlformats.org/spreadsheetml/2006/main" count="29" uniqueCount="29">
  <si>
    <t>분기</t>
  </si>
  <si>
    <t>영업이익</t>
  </si>
  <si>
    <t>순이익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</si>
  <si>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</si>
  <si>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</si>
  <si>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</si>
  <si>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</si>
  <si>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</si>
  <si>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</si>
  <si>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</si>
  <si>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</si>
  <si>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</si>
  <si>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</si>
  <si>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</si>
  <si>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</si>
  <si>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</si>
  <si>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</si>
  <si>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</si>
  <si>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</si>
  <si>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상장주식수</t>
  </si>
  <si>
    <t>4Q_income</t>
  </si>
  <si>
    <t>목표가</t>
  </si>
  <si>
    <t>2026.2Q</t>
    <phoneticPr fontId="18" type="noConversion"/>
  </si>
  <si>
    <t>2026.1Q</t>
    <phoneticPr fontId="18" type="noConversion"/>
  </si>
  <si>
    <t>2025.4Q</t>
    <phoneticPr fontId="18" type="noConversion"/>
  </si>
  <si>
    <t>2025.3Q</t>
    <phoneticPr fontId="18" type="noConversion"/>
  </si>
  <si>
    <t>2025.2Q</t>
    <phoneticPr fontId="18" type="noConversion"/>
  </si>
  <si>
    <t>2026.3Q</t>
    <phoneticPr fontId="18" type="noConversion"/>
  </si>
  <si>
    <t>2026.4Q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</si>
</sst>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</cellStyleXfs>
  <cellXfs count="6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  <xf numFmtId="0" fontId="0" fillId="0" borderId="10" xfId="0" applyBorder="1">
      <alignment vertical="center"/>
    </xf>
    <xf numFmtId="0" fontId="0" fillId="33" borderId="10" xfId="0" applyFill="1" applyBorder="1">
      <alignment vertical="center"/>
    </xf>
    <xf numFmtId="41" fontId="0" fillId="0" borderId="0" xfId="42" applyFont="1">
      <alignment vertical="center"/>
    </xf>
  </cellXfs>
  <cellStyles count="43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쉼표 [0]" xfId="42" builtinId="6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CBC56-B3C1-4C59-982B-8C86BC734C74}">
  <dimension ref="A1:F29"/>
  <sheetViews>
    <sheetView tabSelected="1" workbookViewId="0">
      <selection activeCell="F2" sqref="F2:F24"/>
    </sheetView>
  </sheetViews>
  <sheetFormatPr defaultRowHeight="16.899999999999999" x14ac:dyDescent="0.6"/>
  <cols>
    <col min="2" max="2" width="11.375" bestFit="1" customWidth="1"/>
    <col min="6" max="6" width="11.1875" customWidth="1"/>
  </cols>
  <sheetData>
    <row r="1" spans="1:6" x14ac:dyDescent="0.6">
      <c r="A1" t="s">
        <v>0</v>
      </c>
      <c r="B1" t="s">
        <v>19</v>
      </c>
      <c r="C1" t="s">
        <v>1</v>
      </c>
      <c r="D1" t="s">
        <v>2</v>
      </c>
      <c r="E1" t="s">
        <v>20</v>
      </c>
      <c r="F1" t="s">
        <v>21</v>
      </c>
    </row>
    <row r="2" spans="1:6" x14ac:dyDescent="0.6">
      <c r="A2" s="3" t="s">
        <v>28</v>
      </c>
      <c r="B2" s="1">
        <v>38307075</v>
      </c>
      <c r="C2" s="5">
        <v>1515</v>
      </c>
      <c r="D2">
        <v>1224</v>
      </c>
      <c r="E2" s="5">
        <f>(D2*2+D3*2)</f>
        <v>4522</v>
      </c>
      <c r="F2" s="5">
        <f>E2*100000000/B2*8</f>
        <v>94436.863164311028</v>
      </c>
    </row>
    <row r="3" spans="1:6" x14ac:dyDescent="0.6">
      <c r="A3" s="3" t="s">
        <v>27</v>
      </c>
      <c r="B3" s="1">
        <v>38307075</v>
      </c>
      <c r="C3" s="5">
        <v>1386</v>
      </c>
      <c r="D3">
        <v>1037</v>
      </c>
      <c r="E3" s="5">
        <f>(D2*2+D3*2)</f>
        <v>4522</v>
      </c>
      <c r="F3" s="5">
        <f t="shared" ref="F3:F24" si="0">E3*100000000/B3*8</f>
        <v>94436.863164311028</v>
      </c>
    </row>
    <row r="4" spans="1:6" x14ac:dyDescent="0.6">
      <c r="A4" s="3" t="s">
        <v>22</v>
      </c>
      <c r="B4" s="1">
        <v>38307075</v>
      </c>
      <c r="C4" s="5">
        <v>865</v>
      </c>
      <c r="D4">
        <v>729</v>
      </c>
      <c r="E4" s="5">
        <f>(D3*2+D4+D2)</f>
        <v>4027</v>
      </c>
      <c r="F4" s="5">
        <f t="shared" si="0"/>
        <v>84099.347183255319</v>
      </c>
    </row>
    <row r="5" spans="1:6" x14ac:dyDescent="0.6">
      <c r="A5" s="3" t="s">
        <v>23</v>
      </c>
      <c r="B5" s="1">
        <v>38307075</v>
      </c>
      <c r="C5" s="5">
        <v>1534</v>
      </c>
      <c r="D5" s="1">
        <v>1975</v>
      </c>
      <c r="E5" s="5">
        <f t="shared" ref="E5:E24" si="1">(D4*2+D5+D3)</f>
        <v>4470</v>
      </c>
      <c r="F5" s="5">
        <f t="shared" si="0"/>
        <v>93350.901889533459</v>
      </c>
    </row>
    <row r="6" spans="1:6" x14ac:dyDescent="0.6">
      <c r="A6" s="4" t="s">
        <v>24</v>
      </c>
      <c r="B6" s="1">
        <v>38307075</v>
      </c>
      <c r="C6" s="5">
        <v>1329</v>
      </c>
      <c r="D6" s="1">
        <v>1545</v>
      </c>
      <c r="E6" s="5">
        <f t="shared" si="1"/>
        <v>6224</v>
      </c>
      <c r="F6" s="5">
        <f t="shared" si="0"/>
        <v>129981.21104260767</v>
      </c>
    </row>
    <row r="7" spans="1:6" x14ac:dyDescent="0.6">
      <c r="A7" s="3" t="s">
        <v>25</v>
      </c>
      <c r="B7" s="1">
        <v>38307075</v>
      </c>
      <c r="C7" s="5">
        <v>1280</v>
      </c>
      <c r="D7" s="1">
        <v>1007</v>
      </c>
      <c r="E7" s="5">
        <f t="shared" si="1"/>
        <v>6072</v>
      </c>
      <c r="F7" s="5">
        <f t="shared" si="0"/>
        <v>126806.86270095015</v>
      </c>
    </row>
    <row r="8" spans="1:6" x14ac:dyDescent="0.6">
      <c r="A8" s="3" t="s">
        <v>26</v>
      </c>
      <c r="B8" s="1">
        <v>38307075</v>
      </c>
      <c r="C8" s="5">
        <v>840</v>
      </c>
      <c r="D8" s="1">
        <v>626</v>
      </c>
      <c r="E8" s="5">
        <f t="shared" si="1"/>
        <v>4185</v>
      </c>
      <c r="F8" s="5">
        <f t="shared" si="0"/>
        <v>87398.998748925616</v>
      </c>
    </row>
    <row r="9" spans="1:6" x14ac:dyDescent="0.6">
      <c r="A9" s="3" t="s">
        <v>3</v>
      </c>
      <c r="B9" s="1">
        <v>38307075</v>
      </c>
      <c r="C9" s="5">
        <v>1236</v>
      </c>
      <c r="D9" s="1">
        <v>826</v>
      </c>
      <c r="E9" s="5">
        <f t="shared" si="1"/>
        <v>3085</v>
      </c>
      <c r="F9" s="5">
        <f t="shared" si="0"/>
        <v>64426.741013246246</v>
      </c>
    </row>
    <row r="10" spans="1:6" x14ac:dyDescent="0.6">
      <c r="A10" s="3" t="s">
        <v>4</v>
      </c>
      <c r="B10" s="1">
        <v>38307075</v>
      </c>
      <c r="C10" s="5">
        <v>1204</v>
      </c>
      <c r="D10" s="1">
        <v>1059</v>
      </c>
      <c r="E10" s="5">
        <f t="shared" si="1"/>
        <v>3337</v>
      </c>
      <c r="F10" s="5">
        <f t="shared" si="0"/>
        <v>69689.476421783707</v>
      </c>
    </row>
    <row r="11" spans="1:6" x14ac:dyDescent="0.6">
      <c r="A11" s="3" t="s">
        <v>5</v>
      </c>
      <c r="B11" s="1">
        <v>38307075</v>
      </c>
      <c r="C11" s="1">
        <v>1083</v>
      </c>
      <c r="D11" s="1">
        <v>798</v>
      </c>
      <c r="E11" s="5">
        <f t="shared" si="1"/>
        <v>3742</v>
      </c>
      <c r="F11" s="5">
        <f t="shared" si="0"/>
        <v>78147.444042647476</v>
      </c>
    </row>
    <row r="12" spans="1:6" x14ac:dyDescent="0.6">
      <c r="A12" s="3" t="s">
        <v>6</v>
      </c>
      <c r="B12" s="1">
        <v>38307075</v>
      </c>
      <c r="C12" s="1">
        <v>918</v>
      </c>
      <c r="D12" s="1">
        <v>740</v>
      </c>
      <c r="E12" s="5">
        <f t="shared" si="1"/>
        <v>3395</v>
      </c>
      <c r="F12" s="5">
        <f t="shared" si="0"/>
        <v>70900.74092057407</v>
      </c>
    </row>
    <row r="13" spans="1:6" x14ac:dyDescent="0.6">
      <c r="A13" s="3" t="s">
        <v>7</v>
      </c>
      <c r="B13" s="1">
        <v>38307075</v>
      </c>
      <c r="C13" s="1">
        <v>1302</v>
      </c>
      <c r="D13" s="1">
        <v>963</v>
      </c>
      <c r="E13" s="5">
        <f t="shared" si="1"/>
        <v>3241</v>
      </c>
      <c r="F13" s="5">
        <f t="shared" si="0"/>
        <v>67684.624837578958</v>
      </c>
    </row>
    <row r="14" spans="1:6" x14ac:dyDescent="0.6">
      <c r="A14" s="3" t="s">
        <v>8</v>
      </c>
      <c r="B14" s="1">
        <v>38307075</v>
      </c>
      <c r="C14" s="1">
        <v>1441</v>
      </c>
      <c r="D14" s="1">
        <v>997</v>
      </c>
      <c r="E14" s="5">
        <f t="shared" si="1"/>
        <v>3663</v>
      </c>
      <c r="F14" s="5">
        <f t="shared" si="0"/>
        <v>76497.618259812312</v>
      </c>
    </row>
    <row r="15" spans="1:6" x14ac:dyDescent="0.6">
      <c r="A15" s="3" t="s">
        <v>9</v>
      </c>
      <c r="B15" s="1">
        <v>38307075</v>
      </c>
      <c r="C15" s="1">
        <v>1485</v>
      </c>
      <c r="D15" s="1">
        <v>1191</v>
      </c>
      <c r="E15" s="5">
        <f t="shared" si="1"/>
        <v>4148</v>
      </c>
      <c r="F15" s="5">
        <f t="shared" si="0"/>
        <v>86626.295534180041</v>
      </c>
    </row>
    <row r="16" spans="1:6" x14ac:dyDescent="0.6">
      <c r="A16" t="s">
        <v>10</v>
      </c>
      <c r="B16" s="1">
        <v>38307075</v>
      </c>
      <c r="C16" s="1">
        <v>1104</v>
      </c>
      <c r="D16" s="1">
        <v>874</v>
      </c>
      <c r="E16" s="5">
        <f t="shared" si="1"/>
        <v>4253</v>
      </c>
      <c r="F16" s="5">
        <f t="shared" si="0"/>
        <v>88819.101954403988</v>
      </c>
    </row>
    <row r="17" spans="1:6" x14ac:dyDescent="0.6">
      <c r="A17" t="s">
        <v>11</v>
      </c>
      <c r="B17" s="1">
        <v>38307075</v>
      </c>
      <c r="C17" s="1">
        <v>1488</v>
      </c>
      <c r="D17" s="1">
        <v>1189</v>
      </c>
      <c r="E17" s="5">
        <f t="shared" si="1"/>
        <v>4128</v>
      </c>
      <c r="F17" s="5">
        <f t="shared" si="0"/>
        <v>86208.618120804051</v>
      </c>
    </row>
    <row r="18" spans="1:6" x14ac:dyDescent="0.6">
      <c r="A18" t="s">
        <v>12</v>
      </c>
      <c r="B18" s="1">
        <v>38307075</v>
      </c>
      <c r="C18" s="1">
        <v>1569</v>
      </c>
      <c r="D18" s="1">
        <v>1675</v>
      </c>
      <c r="E18" s="5">
        <f t="shared" si="1"/>
        <v>4927</v>
      </c>
      <c r="F18" s="5">
        <f t="shared" si="0"/>
        <v>102894.8307851748</v>
      </c>
    </row>
    <row r="19" spans="1:6" x14ac:dyDescent="0.6">
      <c r="A19" t="s">
        <v>13</v>
      </c>
      <c r="B19" s="1">
        <v>38307075</v>
      </c>
      <c r="C19" s="1">
        <v>1384</v>
      </c>
      <c r="D19" s="1">
        <v>1095</v>
      </c>
      <c r="E19" s="5">
        <f t="shared" si="1"/>
        <v>5634</v>
      </c>
      <c r="F19" s="5">
        <f t="shared" si="0"/>
        <v>117659.72734801599</v>
      </c>
    </row>
    <row r="20" spans="1:6" x14ac:dyDescent="0.6">
      <c r="A20" t="s">
        <v>14</v>
      </c>
      <c r="B20" s="1">
        <v>38307075</v>
      </c>
      <c r="C20" s="1">
        <v>950</v>
      </c>
      <c r="D20" s="1">
        <v>692</v>
      </c>
      <c r="E20" s="5">
        <f t="shared" si="1"/>
        <v>4557</v>
      </c>
      <c r="F20" s="5">
        <f t="shared" si="0"/>
        <v>95167.79863771901</v>
      </c>
    </row>
    <row r="21" spans="1:6" x14ac:dyDescent="0.6">
      <c r="A21" t="s">
        <v>15</v>
      </c>
      <c r="B21" s="1">
        <v>38307075</v>
      </c>
      <c r="C21" s="1">
        <v>1346</v>
      </c>
      <c r="D21" s="1">
        <v>964</v>
      </c>
      <c r="E21" s="5">
        <f t="shared" si="1"/>
        <v>3443</v>
      </c>
      <c r="F21" s="5">
        <f t="shared" si="0"/>
        <v>71903.166712676451</v>
      </c>
    </row>
    <row r="22" spans="1:6" x14ac:dyDescent="0.6">
      <c r="A22" t="s">
        <v>16</v>
      </c>
      <c r="B22" s="1">
        <v>38307075</v>
      </c>
      <c r="C22" s="1">
        <v>1837</v>
      </c>
      <c r="D22" s="1">
        <v>1229</v>
      </c>
      <c r="E22" s="5">
        <f t="shared" si="1"/>
        <v>3849</v>
      </c>
      <c r="F22" s="5">
        <f t="shared" si="0"/>
        <v>80382.018204209016</v>
      </c>
    </row>
    <row r="23" spans="1:6" x14ac:dyDescent="0.6">
      <c r="A23" t="s">
        <v>17</v>
      </c>
      <c r="B23" s="1">
        <v>38307075</v>
      </c>
      <c r="C23" s="1">
        <v>957</v>
      </c>
      <c r="D23" s="1">
        <v>711</v>
      </c>
      <c r="E23" s="5">
        <f t="shared" si="1"/>
        <v>4133</v>
      </c>
      <c r="F23" s="5">
        <f t="shared" si="0"/>
        <v>86313.037474148048</v>
      </c>
    </row>
    <row r="24" spans="1:6" x14ac:dyDescent="0.6">
      <c r="A24" t="s">
        <v>18</v>
      </c>
      <c r="B24" s="1">
        <v>38307075</v>
      </c>
      <c r="C24" s="1">
        <v>432</v>
      </c>
      <c r="D24" s="1">
        <v>318</v>
      </c>
      <c r="E24" s="5">
        <f t="shared" si="1"/>
        <v>2969</v>
      </c>
      <c r="F24" s="5">
        <f t="shared" si="0"/>
        <v>62004.212015665515</v>
      </c>
    </row>
    <row r="25" spans="1:6" x14ac:dyDescent="0.6">
      <c r="B25" s="1"/>
      <c r="C25" s="1"/>
      <c r="D25" s="1"/>
      <c r="E25" s="5"/>
      <c r="F25" s="5"/>
    </row>
    <row r="26" spans="1:6" x14ac:dyDescent="0.6">
      <c r="B26" s="1"/>
      <c r="C26" s="1"/>
      <c r="D26" s="1"/>
      <c r="E26" s="5"/>
      <c r="F26" s="5"/>
    </row>
    <row r="27" spans="1:6" x14ac:dyDescent="0.6">
      <c r="B27" s="1"/>
      <c r="C27" s="1"/>
      <c r="D27" s="1"/>
      <c r="E27" s="5"/>
      <c r="F27" s="5"/>
    </row>
    <row r="28" spans="1:6" x14ac:dyDescent="0.6">
      <c r="B28" s="1"/>
      <c r="C28" s="1"/>
      <c r="F28" s="2"/>
    </row>
    <row r="29" spans="1:6" x14ac:dyDescent="0.6">
      <c r="B29" s="1"/>
      <c r="C29" s="1"/>
      <c r="D29" s="1"/>
    </row>
  </sheetData>
  <phoneticPr fontId="18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F&amp;F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2025-01-31T15:21:33Z</dcterms:created>
  <dcterms:modified xsi:type="dcterms:W3CDTF">2026-10-08T08:53:09Z</dcterms:modified>
</cp:coreProperties>
</file>