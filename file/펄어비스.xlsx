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5A263CF0-3BE7-44BC-A587-5B85D23980EE}" xr6:coauthVersionLast="47" xr6:coauthVersionMax="47" xr10:uidLastSave="{00000000-0000-0000-0000-000000000000}"/>
  <bookViews>
    <workbookView xWindow="-98" yWindow="-98" windowWidth="28996" windowHeight="15675" xr2:uid="{C05637EF-894A-4FAC-9F47-0179780C4CC4}"/>
  </bookViews>
  <sheets>
    <sheet name="펄어비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 s="1"/>
  <c r="E3" i="1"/>
  <c r="F3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4" i="1"/>
  <c r="F9" i="1"/>
  <c r="F10" i="1"/>
  <c r="F13" i="1"/>
  <c r="F14" i="1"/>
  <c r="F15" i="1"/>
  <c r="F16" i="1"/>
  <c r="F17" i="1"/>
  <c r="F18" i="1"/>
  <c r="F19" i="1"/>
  <c r="F4" i="1"/>
  <c r="F5" i="1"/>
  <c r="F6" i="1"/>
  <c r="F7" i="1"/>
  <c r="F8" i="1"/>
  <c r="F11" i="1"/>
  <c r="F12" i="1"/>
</calcChain>
</file>

<file path=xl/sharedStrings.xml><?xml version="1.0" encoding="utf-8"?>
<sst xmlns="http://schemas.openxmlformats.org/spreadsheetml/2006/main" count="32" uniqueCount="32">
  <si>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</si>
  <si>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</si>
  <si>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</si>
  <si>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</si>
  <si>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</si>
  <si>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</si>
  <si>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</si>
  <si>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</si>
  <si>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</si>
  <si>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</si>
  <si>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</si>
  <si>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</si>
  <si>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</si>
  <si>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</si>
  <si>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</si>
  <si>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</si>
  <si>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</si>
  <si>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</si>
  <si>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</si>
  <si>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</si>
  <si>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</si>
  <si>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</si>
  <si>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</si>
  <si>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상장주식수</t>
  </si>
  <si>
    <t>2025.2Q</t>
    <phoneticPr fontId="18" type="noConversion"/>
  </si>
  <si>
    <t>4Q_income</t>
  </si>
  <si>
    <t>목표가</t>
  </si>
  <si>
    <t>2025.4Q</t>
    <phoneticPr fontId="18" type="noConversion"/>
  </si>
  <si>
    <t>2025.3Q</t>
    <phoneticPr fontId="18" type="noConversion"/>
  </si>
  <si>
    <t>2026.1Q</t>
    <phoneticPr fontId="18" type="noConversion"/>
  </si>
  <si>
    <t>2026.2Q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</si>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</sst>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14" fillId="0" borderId="0" xfId="42" applyNumberFormat="1" applyFont="1">
      <alignment vertical="center"/>
    </xf>
    <xf numFmtId="176" fontId="0" fillId="0" borderId="0" xfId="42" applyNumberFormat="1" applyFont="1">
      <alignment vertical="center"/>
    </xf>
    <xf numFmtId="176" fontId="14" fillId="0" borderId="0" xfId="42" applyNumberFormat="1" applyFont="1" applyFill="1">
      <alignment vertical="center"/>
    </xf>
    <xf numFmtId="176" fontId="0" fillId="0" borderId="0" xfId="42" applyNumberFormat="1" applyFont="1" applyFill="1">
      <alignment vertical="center"/>
    </xf>
    <xf numFmtId="176" fontId="19" fillId="0" borderId="0" xfId="42" applyNumberFormat="1" applyFont="1" applyFill="1">
      <alignment vertical="center"/>
    </xf>
    <xf numFmtId="176" fontId="19" fillId="0" borderId="0" xfId="42" applyNumberFormat="1" applyFont="1">
      <alignment vertical="center"/>
    </xf>
    <xf numFmtId="176" fontId="14" fillId="33" borderId="0" xfId="42" applyNumberFormat="1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CA7B-35C4-494A-A46D-5A1400A4E47E}">
  <dimension ref="A1:F28"/>
  <sheetViews>
    <sheetView tabSelected="1" workbookViewId="0">
      <selection activeCell="E3" sqref="E3"/>
    </sheetView>
  </sheetViews>
  <sheetFormatPr defaultRowHeight="16.899999999999999"/>
  <cols>
    <col min="2" max="2" width="10.25" bestFit="1" customWidth="1"/>
  </cols>
  <sheetData>
    <row r="1" spans="1:6">
      <c r="A1" t="s">
        <v>0</v>
      </c>
      <c r="B1" t="s">
        <v>23</v>
      </c>
      <c r="C1" t="s">
        <v>1</v>
      </c>
      <c r="D1" t="s">
        <v>2</v>
      </c>
      <c r="E1" t="s">
        <v>25</v>
      </c>
      <c r="F1" t="s">
        <v>26</v>
      </c>
    </row>
    <row r="2" spans="1:6">
      <c r="A2" t="s">
        <v>31</v>
      </c>
      <c r="B2" s="1">
        <v>37353645</v>
      </c>
      <c r="C2" s="2">
        <v>387.3</v>
      </c>
      <c r="D2" s="2">
        <v>419</v>
      </c>
      <c r="E2" s="3">
        <f>(D2*2+D3*2)</f>
        <v>2216</v>
      </c>
      <c r="F2" s="3">
        <f>E2*100000000/B2*15</f>
        <v>88987.2996330077</v>
      </c>
    </row>
    <row r="3" spans="1:6">
      <c r="A3" t="s">
        <v>30</v>
      </c>
      <c r="B3" s="1">
        <v>37353645</v>
      </c>
      <c r="C3" s="4">
        <v>1047</v>
      </c>
      <c r="D3" s="4">
        <v>689</v>
      </c>
      <c r="E3" s="5">
        <f>(D3*2+D2*2)</f>
        <v>2216</v>
      </c>
      <c r="F3" s="3">
        <f t="shared" ref="F3:F26" si="0">E3*100000000/B3*15</f>
        <v>88987.2996330077</v>
      </c>
    </row>
    <row r="4" spans="1:6">
      <c r="A4" t="s">
        <v>29</v>
      </c>
      <c r="B4" s="1">
        <v>37353645</v>
      </c>
      <c r="C4" s="8">
        <v>1250</v>
      </c>
      <c r="D4" s="6">
        <v>871</v>
      </c>
      <c r="E4" s="5">
        <f>(D4+D3*2+D2)</f>
        <v>2668</v>
      </c>
      <c r="F4" s="3">
        <f t="shared" si="0"/>
        <v>107138.13872782697</v>
      </c>
    </row>
    <row r="5" spans="1:6">
      <c r="A5" t="s">
        <v>27</v>
      </c>
      <c r="B5" s="1">
        <v>37353645</v>
      </c>
      <c r="C5" s="6">
        <v>-84</v>
      </c>
      <c r="D5" s="6">
        <v>-152</v>
      </c>
      <c r="E5" s="5">
        <f t="shared" ref="E5:E26" si="1">(D5+D4*2+D3)</f>
        <v>2279</v>
      </c>
      <c r="F5" s="3">
        <f t="shared" si="0"/>
        <v>91517.173223657286</v>
      </c>
    </row>
    <row r="6" spans="1:6">
      <c r="A6" t="s">
        <v>28</v>
      </c>
      <c r="B6" s="1">
        <v>37353645</v>
      </c>
      <c r="C6" s="7">
        <v>106</v>
      </c>
      <c r="D6" s="7">
        <v>290</v>
      </c>
      <c r="E6" s="5">
        <f t="shared" si="1"/>
        <v>857</v>
      </c>
      <c r="F6" s="3">
        <f t="shared" si="0"/>
        <v>34414.312177566608</v>
      </c>
    </row>
    <row r="7" spans="1:6">
      <c r="A7" t="s">
        <v>24</v>
      </c>
      <c r="B7" s="1">
        <v>37353645</v>
      </c>
      <c r="C7" s="7">
        <v>-118</v>
      </c>
      <c r="D7" s="7">
        <v>-227</v>
      </c>
      <c r="E7" s="5">
        <f t="shared" si="1"/>
        <v>201</v>
      </c>
      <c r="F7" s="3">
        <f t="shared" si="0"/>
        <v>8071.5014558820167</v>
      </c>
    </row>
    <row r="8" spans="1:6">
      <c r="A8" t="s">
        <v>3</v>
      </c>
      <c r="B8" s="1">
        <v>37353645</v>
      </c>
      <c r="C8" s="7">
        <v>-52</v>
      </c>
      <c r="D8" s="7">
        <v>5</v>
      </c>
      <c r="E8" s="5">
        <f t="shared" si="1"/>
        <v>-159</v>
      </c>
      <c r="F8" s="3">
        <f t="shared" si="0"/>
        <v>-6384.9190621156249</v>
      </c>
    </row>
    <row r="9" spans="1:6">
      <c r="A9" t="s">
        <v>4</v>
      </c>
      <c r="B9" s="1">
        <v>37353645</v>
      </c>
      <c r="C9" s="3">
        <v>22</v>
      </c>
      <c r="D9" s="3">
        <v>462</v>
      </c>
      <c r="E9" s="5">
        <f t="shared" si="1"/>
        <v>245</v>
      </c>
      <c r="F9" s="3">
        <f t="shared" si="0"/>
        <v>9838.3972969706174</v>
      </c>
    </row>
    <row r="10" spans="1:6">
      <c r="A10" t="s">
        <v>5</v>
      </c>
      <c r="B10" s="1">
        <v>37353645</v>
      </c>
      <c r="C10" s="3">
        <v>-92</v>
      </c>
      <c r="D10" s="3">
        <v>-78</v>
      </c>
      <c r="E10" s="5">
        <f t="shared" si="1"/>
        <v>851</v>
      </c>
      <c r="F10" s="3">
        <f t="shared" si="0"/>
        <v>34173.371835599981</v>
      </c>
    </row>
    <row r="11" spans="1:6">
      <c r="A11" t="s">
        <v>6</v>
      </c>
      <c r="B11" s="1">
        <v>37353645</v>
      </c>
      <c r="C11" s="3">
        <v>-58</v>
      </c>
      <c r="D11" s="3">
        <v>91</v>
      </c>
      <c r="E11" s="5">
        <f t="shared" si="1"/>
        <v>397</v>
      </c>
      <c r="F11" s="3">
        <f t="shared" si="0"/>
        <v>15942.219293458509</v>
      </c>
    </row>
    <row r="12" spans="1:6">
      <c r="A12" t="s">
        <v>7</v>
      </c>
      <c r="B12" s="1">
        <v>37353645</v>
      </c>
      <c r="C12" s="3">
        <v>6</v>
      </c>
      <c r="D12" s="3">
        <v>128</v>
      </c>
      <c r="E12" s="5">
        <f t="shared" si="1"/>
        <v>232</v>
      </c>
      <c r="F12" s="3">
        <f t="shared" si="0"/>
        <v>9316.3598893762573</v>
      </c>
    </row>
    <row r="13" spans="1:6">
      <c r="A13" t="s">
        <v>8</v>
      </c>
      <c r="B13" s="1">
        <v>37353645</v>
      </c>
      <c r="C13" s="3">
        <v>-55</v>
      </c>
      <c r="D13" s="3">
        <v>-46</v>
      </c>
      <c r="E13" s="5">
        <f t="shared" si="1"/>
        <v>301</v>
      </c>
      <c r="F13" s="3">
        <f t="shared" si="0"/>
        <v>12087.173821992472</v>
      </c>
    </row>
    <row r="14" spans="1:6">
      <c r="A14" t="s">
        <v>9</v>
      </c>
      <c r="B14" s="1">
        <v>37353645</v>
      </c>
      <c r="C14" s="3">
        <v>21</v>
      </c>
      <c r="D14" s="3">
        <v>148</v>
      </c>
      <c r="E14" s="5">
        <f t="shared" si="1"/>
        <v>184</v>
      </c>
      <c r="F14" s="3">
        <f t="shared" si="0"/>
        <v>7388.8371536432387</v>
      </c>
    </row>
    <row r="15" spans="1:6">
      <c r="A15" t="s">
        <v>10</v>
      </c>
      <c r="B15" s="1">
        <v>37353645</v>
      </c>
      <c r="C15" s="3">
        <v>-141</v>
      </c>
      <c r="D15" s="3">
        <v>-44</v>
      </c>
      <c r="E15" s="5">
        <f t="shared" si="1"/>
        <v>206</v>
      </c>
      <c r="F15" s="3">
        <f t="shared" si="0"/>
        <v>8272.2850741875391</v>
      </c>
    </row>
    <row r="16" spans="1:6">
      <c r="A16" t="s">
        <v>11</v>
      </c>
      <c r="B16" s="1">
        <v>37353645</v>
      </c>
      <c r="C16" s="3">
        <v>11</v>
      </c>
      <c r="D16" s="3">
        <v>94</v>
      </c>
      <c r="E16" s="5">
        <f t="shared" si="1"/>
        <v>154</v>
      </c>
      <c r="F16" s="3">
        <f t="shared" si="0"/>
        <v>6184.1354438101016</v>
      </c>
    </row>
    <row r="17" spans="1:6">
      <c r="A17" t="s">
        <v>12</v>
      </c>
      <c r="B17" s="1">
        <v>37353645</v>
      </c>
      <c r="C17" s="3">
        <v>35</v>
      </c>
      <c r="D17" s="3">
        <v>-1022</v>
      </c>
      <c r="E17" s="5">
        <f t="shared" si="1"/>
        <v>-878</v>
      </c>
      <c r="F17" s="3">
        <f t="shared" si="0"/>
        <v>-35257.603374449805</v>
      </c>
    </row>
    <row r="18" spans="1:6">
      <c r="A18" t="s">
        <v>13</v>
      </c>
      <c r="B18" s="1">
        <v>37353645</v>
      </c>
      <c r="C18" s="3">
        <v>120</v>
      </c>
      <c r="D18" s="3">
        <v>213</v>
      </c>
      <c r="E18" s="5">
        <f t="shared" si="1"/>
        <v>-1737</v>
      </c>
      <c r="F18" s="3">
        <f t="shared" si="0"/>
        <v>-69752.228999338622</v>
      </c>
    </row>
    <row r="19" spans="1:6">
      <c r="A19" t="s">
        <v>14</v>
      </c>
      <c r="B19" s="1">
        <v>37353645</v>
      </c>
      <c r="C19" s="3">
        <v>-42</v>
      </c>
      <c r="D19" s="3">
        <v>320</v>
      </c>
      <c r="E19" s="5">
        <f t="shared" si="1"/>
        <v>-276</v>
      </c>
      <c r="F19" s="3">
        <f t="shared" si="0"/>
        <v>-11083.255730464858</v>
      </c>
    </row>
    <row r="20" spans="1:6">
      <c r="A20" t="s">
        <v>15</v>
      </c>
      <c r="B20" s="1">
        <v>37353645</v>
      </c>
      <c r="C20" s="3">
        <v>52</v>
      </c>
      <c r="D20" s="3">
        <v>58</v>
      </c>
      <c r="E20" s="5">
        <f t="shared" si="1"/>
        <v>911</v>
      </c>
      <c r="F20" s="3">
        <f t="shared" si="0"/>
        <v>36582.775255266257</v>
      </c>
    </row>
    <row r="21" spans="1:6">
      <c r="A21" t="s">
        <v>16</v>
      </c>
      <c r="B21" s="1">
        <v>37353645</v>
      </c>
      <c r="C21" s="3">
        <v>257</v>
      </c>
      <c r="D21" s="3">
        <v>91</v>
      </c>
      <c r="E21" s="5">
        <f t="shared" si="1"/>
        <v>527</v>
      </c>
      <c r="F21" s="3">
        <f t="shared" si="0"/>
        <v>21162.593369402101</v>
      </c>
    </row>
    <row r="22" spans="1:6">
      <c r="A22" t="s">
        <v>17</v>
      </c>
      <c r="B22" s="1">
        <v>37353645</v>
      </c>
      <c r="C22" s="3">
        <v>102</v>
      </c>
      <c r="D22" s="3">
        <v>268</v>
      </c>
      <c r="E22" s="5">
        <f t="shared" si="1"/>
        <v>508</v>
      </c>
      <c r="F22" s="3">
        <f t="shared" si="0"/>
        <v>20399.615619841115</v>
      </c>
    </row>
    <row r="23" spans="1:6">
      <c r="A23" t="s">
        <v>18</v>
      </c>
      <c r="B23" s="1">
        <v>37353645</v>
      </c>
      <c r="C23" s="3">
        <v>-60</v>
      </c>
      <c r="D23" s="3">
        <v>28</v>
      </c>
      <c r="E23" s="5">
        <f t="shared" si="1"/>
        <v>655</v>
      </c>
      <c r="F23" s="3">
        <f t="shared" si="0"/>
        <v>26302.653998023485</v>
      </c>
    </row>
    <row r="24" spans="1:6">
      <c r="A24" t="s">
        <v>19</v>
      </c>
      <c r="B24" s="1">
        <v>37353645</v>
      </c>
      <c r="C24" s="3">
        <v>131</v>
      </c>
      <c r="D24" s="3">
        <v>207</v>
      </c>
      <c r="E24" s="5">
        <f t="shared" si="1"/>
        <v>531</v>
      </c>
      <c r="F24" s="3">
        <f t="shared" si="0"/>
        <v>21323.220264046522</v>
      </c>
    </row>
    <row r="25" spans="1:6">
      <c r="A25" t="s">
        <v>20</v>
      </c>
      <c r="B25" s="1">
        <v>37353645</v>
      </c>
      <c r="C25" s="3">
        <v>200</v>
      </c>
      <c r="D25" s="3">
        <v>11</v>
      </c>
      <c r="E25" s="5">
        <f t="shared" si="1"/>
        <v>453</v>
      </c>
      <c r="F25" s="3">
        <f t="shared" si="0"/>
        <v>18190.995818480365</v>
      </c>
    </row>
    <row r="26" spans="1:6">
      <c r="A26" t="s">
        <v>21</v>
      </c>
      <c r="B26" s="1">
        <v>37353645</v>
      </c>
      <c r="C26" s="3">
        <v>405</v>
      </c>
      <c r="D26" s="3">
        <v>278</v>
      </c>
      <c r="E26" s="5">
        <f t="shared" si="1"/>
        <v>507</v>
      </c>
      <c r="F26" s="3">
        <f t="shared" si="0"/>
        <v>20359.458896180011</v>
      </c>
    </row>
    <row r="27" spans="1:6">
      <c r="A27" t="s">
        <v>22</v>
      </c>
      <c r="B27" s="1">
        <v>37353645</v>
      </c>
      <c r="C27" s="3">
        <v>506</v>
      </c>
      <c r="D27" s="3">
        <v>236</v>
      </c>
      <c r="E27" s="3"/>
      <c r="F27" s="3"/>
    </row>
    <row r="28" spans="1:6">
      <c r="B28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펄어비스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2025-01-28T11:03:29Z</dcterms:created>
  <dcterms:modified xsi:type="dcterms:W3CDTF">2026-04-28T07:33:44Z</dcterms:modified>
</cp:coreProperties>
</file>