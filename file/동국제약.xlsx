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2A364618-E4B9-4B15-BF3A-6BA4BC5BD7EF}" xr6:coauthVersionLast="47" xr6:coauthVersionMax="47" xr10:uidLastSave="{00000000-0000-0000-0000-000000000000}"/>
  <bookViews>
    <workbookView xWindow="-98" yWindow="-98" windowWidth="28996" windowHeight="15675" xr2:uid="{C05637EF-894A-4FAC-9F47-0179780C4CC4}"/>
  </bookViews>
  <sheets>
    <sheet name="동국제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3" i="1"/>
  <c r="F3" i="1" s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" i="1"/>
  <c r="E2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5" i="1"/>
</calcChain>
</file>

<file path=xl/sharedStrings.xml><?xml version="1.0" encoding="utf-8"?>
<sst xmlns="http://schemas.openxmlformats.org/spreadsheetml/2006/main" count="29" uniqueCount="28">
  <si>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</si>
  <si>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</si>
  <si>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</si>
  <si>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</si>
  <si>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</si>
  <si>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</si>
  <si>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</si>
  <si>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</si>
  <si>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</si>
  <si>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</si>
  <si>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</si>
  <si>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</si>
  <si>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</si>
  <si>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</si>
  <si>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</si>
  <si>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</si>
  <si>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</si>
  <si>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</si>
  <si>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</si>
  <si>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상장주식수</t>
  </si>
  <si>
    <t>2025.2Q</t>
    <phoneticPr fontId="18" type="noConversion"/>
  </si>
  <si>
    <t>4Q_income</t>
  </si>
  <si>
    <t>목표가</t>
  </si>
  <si>
    <t>2025.3Q</t>
    <phoneticPr fontId="18" type="noConversion"/>
  </si>
  <si>
    <t>2025.4Q</t>
    <phoneticPr fontId="18" type="noConversion"/>
  </si>
  <si>
    <t>2026.1Q</t>
    <phoneticPr fontId="18" type="noConversion"/>
  </si>
  <si>
    <t>2026.2Q</t>
    <phoneticPr fontId="18" type="noConversion"/>
  </si>
  <si>
    <t>2026.3Q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</si>
</sst>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  <xf numFmtId="41" fontId="0" fillId="0" borderId="0" xfId="42" applyFont="1">
      <alignment vertical="center"/>
    </xf>
    <xf numFmtId="0" fontId="14" fillId="0" borderId="0" xfId="0" applyFont="1">
      <alignment vertical="center"/>
    </xf>
    <xf numFmtId="0" fontId="0" fillId="0" borderId="0" xfId="0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7CA7B-35C4-494A-A46D-5A1400A4E47E}">
  <dimension ref="A1:F29"/>
  <sheetViews>
    <sheetView tabSelected="1" workbookViewId="0">
      <selection activeCell="I12" sqref="I12"/>
    </sheetView>
  </sheetViews>
  <sheetFormatPr defaultRowHeight="16.899999999999999" x14ac:dyDescent="0.6"/>
  <cols>
    <col min="2" max="2" width="10.25" bestFit="1" customWidth="1"/>
  </cols>
  <sheetData>
    <row r="1" spans="1:6" x14ac:dyDescent="0.6">
      <c r="A1" t="s">
        <v>0</v>
      </c>
      <c r="B1" t="s">
        <v>19</v>
      </c>
      <c r="C1" t="s">
        <v>1</v>
      </c>
      <c r="D1" t="s">
        <v>2</v>
      </c>
      <c r="E1" t="s">
        <v>21</v>
      </c>
      <c r="F1" t="s">
        <v>22</v>
      </c>
    </row>
    <row r="2" spans="1:6" x14ac:dyDescent="0.6">
      <c r="A2" t="s">
        <v>27</v>
      </c>
      <c r="B2" s="1">
        <v>44460000</v>
      </c>
      <c r="C2" s="4">
        <v>311</v>
      </c>
      <c r="D2" s="4">
        <v>214</v>
      </c>
      <c r="E2" s="3">
        <f>C2*2+C3*2</f>
        <v>1218</v>
      </c>
      <c r="F2" s="3">
        <f>E2*100000000/B2*10</f>
        <v>27395.411605937919</v>
      </c>
    </row>
    <row r="3" spans="1:6" x14ac:dyDescent="0.6">
      <c r="A3" t="s">
        <v>27</v>
      </c>
      <c r="B3" s="1">
        <v>44460000</v>
      </c>
      <c r="C3" s="4">
        <v>298</v>
      </c>
      <c r="D3" s="4">
        <v>214</v>
      </c>
      <c r="E3" s="3">
        <f>C3*2+C2*2</f>
        <v>1218</v>
      </c>
      <c r="F3" s="3">
        <f t="shared" ref="F3:F24" si="0">E3*100000000/B3*10</f>
        <v>27395.411605937919</v>
      </c>
    </row>
    <row r="4" spans="1:6" x14ac:dyDescent="0.6">
      <c r="A4" t="s">
        <v>26</v>
      </c>
      <c r="B4" s="1">
        <v>44460000</v>
      </c>
      <c r="C4" s="4">
        <v>268</v>
      </c>
      <c r="D4" s="4">
        <v>195</v>
      </c>
      <c r="E4" s="3">
        <f>C4+C3*2+C2</f>
        <v>1175</v>
      </c>
      <c r="F4" s="3">
        <f t="shared" si="0"/>
        <v>26428.250112460635</v>
      </c>
    </row>
    <row r="5" spans="1:6" x14ac:dyDescent="0.6">
      <c r="A5" t="s">
        <v>25</v>
      </c>
      <c r="B5" s="1">
        <v>44460000</v>
      </c>
      <c r="C5" s="5">
        <v>273</v>
      </c>
      <c r="D5" s="5">
        <v>249</v>
      </c>
      <c r="E5" s="3">
        <f>C5+C4*2+C3</f>
        <v>1107</v>
      </c>
      <c r="F5" s="3">
        <f t="shared" si="0"/>
        <v>24898.785425101214</v>
      </c>
    </row>
    <row r="6" spans="1:6" x14ac:dyDescent="0.6">
      <c r="A6" t="s">
        <v>24</v>
      </c>
      <c r="B6" s="1">
        <v>44460000</v>
      </c>
      <c r="C6">
        <v>243</v>
      </c>
      <c r="D6">
        <v>156</v>
      </c>
      <c r="E6" s="3">
        <f t="shared" ref="E6:E24" si="1">C6+C5*2+C4</f>
        <v>1057</v>
      </c>
      <c r="F6" s="3">
        <f t="shared" si="0"/>
        <v>23774.179037336929</v>
      </c>
    </row>
    <row r="7" spans="1:6" x14ac:dyDescent="0.6">
      <c r="A7" t="s">
        <v>23</v>
      </c>
      <c r="B7" s="1">
        <v>44460000</v>
      </c>
      <c r="C7">
        <v>248</v>
      </c>
      <c r="D7">
        <v>223</v>
      </c>
      <c r="E7" s="3">
        <f t="shared" si="1"/>
        <v>1007</v>
      </c>
      <c r="F7" s="3">
        <f t="shared" si="0"/>
        <v>22649.572649572652</v>
      </c>
    </row>
    <row r="8" spans="1:6" x14ac:dyDescent="0.6">
      <c r="A8" t="s">
        <v>20</v>
      </c>
      <c r="B8" s="1">
        <v>44460000</v>
      </c>
      <c r="C8">
        <v>221</v>
      </c>
      <c r="D8">
        <v>181</v>
      </c>
      <c r="E8" s="3">
        <f t="shared" si="1"/>
        <v>960</v>
      </c>
      <c r="F8" s="3">
        <f t="shared" si="0"/>
        <v>21592.442645074225</v>
      </c>
    </row>
    <row r="9" spans="1:6" x14ac:dyDescent="0.6">
      <c r="A9" t="s">
        <v>3</v>
      </c>
      <c r="B9" s="1">
        <v>44460000</v>
      </c>
      <c r="C9">
        <v>253</v>
      </c>
      <c r="D9">
        <v>180</v>
      </c>
      <c r="E9" s="3">
        <f t="shared" si="1"/>
        <v>943</v>
      </c>
      <c r="F9" s="3">
        <f t="shared" si="0"/>
        <v>21210.076473234367</v>
      </c>
    </row>
    <row r="10" spans="1:6" x14ac:dyDescent="0.6">
      <c r="A10" t="s">
        <v>4</v>
      </c>
      <c r="B10" s="1">
        <v>44460000</v>
      </c>
      <c r="C10">
        <v>177</v>
      </c>
      <c r="D10">
        <v>83</v>
      </c>
      <c r="E10" s="3">
        <f t="shared" si="1"/>
        <v>904</v>
      </c>
      <c r="F10" s="3">
        <f t="shared" si="0"/>
        <v>20332.883490778226</v>
      </c>
    </row>
    <row r="11" spans="1:6" x14ac:dyDescent="0.6">
      <c r="A11" t="s">
        <v>5</v>
      </c>
      <c r="B11" s="1">
        <v>44460000</v>
      </c>
      <c r="C11">
        <v>225</v>
      </c>
      <c r="D11">
        <v>212</v>
      </c>
      <c r="E11" s="3">
        <f t="shared" si="1"/>
        <v>832</v>
      </c>
      <c r="F11" s="3">
        <f t="shared" si="0"/>
        <v>18713.450292397662</v>
      </c>
    </row>
    <row r="12" spans="1:6" x14ac:dyDescent="0.6">
      <c r="A12" t="s">
        <v>6</v>
      </c>
      <c r="B12" s="1">
        <v>44460000</v>
      </c>
      <c r="C12">
        <v>192</v>
      </c>
      <c r="D12">
        <v>128</v>
      </c>
      <c r="E12" s="3">
        <f t="shared" si="1"/>
        <v>819</v>
      </c>
      <c r="F12" s="3">
        <f t="shared" si="0"/>
        <v>18421.052631578947</v>
      </c>
    </row>
    <row r="13" spans="1:6" x14ac:dyDescent="0.6">
      <c r="A13" t="s">
        <v>7</v>
      </c>
      <c r="B13" s="1">
        <v>44460000</v>
      </c>
      <c r="C13">
        <v>210</v>
      </c>
      <c r="D13">
        <v>200</v>
      </c>
      <c r="E13" s="3">
        <f t="shared" si="1"/>
        <v>819</v>
      </c>
      <c r="F13" s="3">
        <f t="shared" si="0"/>
        <v>18421.052631578947</v>
      </c>
    </row>
    <row r="14" spans="1:6" x14ac:dyDescent="0.6">
      <c r="A14" t="s">
        <v>8</v>
      </c>
      <c r="B14" s="1">
        <v>44460000</v>
      </c>
      <c r="C14">
        <v>205</v>
      </c>
      <c r="D14">
        <v>100</v>
      </c>
      <c r="E14" s="3">
        <f t="shared" si="1"/>
        <v>817</v>
      </c>
      <c r="F14" s="3">
        <f t="shared" si="0"/>
        <v>18376.068376068375</v>
      </c>
    </row>
    <row r="15" spans="1:6" x14ac:dyDescent="0.6">
      <c r="A15" t="s">
        <v>9</v>
      </c>
      <c r="B15" s="1">
        <v>44460000</v>
      </c>
      <c r="C15">
        <v>142</v>
      </c>
      <c r="D15">
        <v>125</v>
      </c>
      <c r="E15" s="3">
        <f t="shared" si="1"/>
        <v>762</v>
      </c>
      <c r="F15" s="3">
        <f t="shared" si="0"/>
        <v>17139.001349527665</v>
      </c>
    </row>
    <row r="16" spans="1:6" x14ac:dyDescent="0.6">
      <c r="A16" t="s">
        <v>10</v>
      </c>
      <c r="B16" s="1">
        <v>44460000</v>
      </c>
      <c r="C16">
        <v>129</v>
      </c>
      <c r="D16">
        <v>103</v>
      </c>
      <c r="E16" s="3">
        <f t="shared" si="1"/>
        <v>618</v>
      </c>
      <c r="F16" s="3">
        <f t="shared" si="0"/>
        <v>13900.134952766532</v>
      </c>
    </row>
    <row r="17" spans="1:6" x14ac:dyDescent="0.6">
      <c r="A17" t="s">
        <v>11</v>
      </c>
      <c r="B17" s="1">
        <v>44460000</v>
      </c>
      <c r="C17">
        <v>193</v>
      </c>
      <c r="D17">
        <v>161</v>
      </c>
      <c r="E17" s="3">
        <f t="shared" si="1"/>
        <v>593</v>
      </c>
      <c r="F17" s="3">
        <f t="shared" si="0"/>
        <v>13337.831758884389</v>
      </c>
    </row>
    <row r="18" spans="1:6" x14ac:dyDescent="0.6">
      <c r="A18" t="s">
        <v>12</v>
      </c>
      <c r="B18" s="1">
        <v>44460000</v>
      </c>
      <c r="C18">
        <v>187</v>
      </c>
      <c r="D18">
        <v>108</v>
      </c>
      <c r="E18" s="3">
        <f t="shared" si="1"/>
        <v>702</v>
      </c>
      <c r="F18" s="3">
        <f t="shared" si="0"/>
        <v>15789.473684210527</v>
      </c>
    </row>
    <row r="19" spans="1:6" x14ac:dyDescent="0.6">
      <c r="A19" t="s">
        <v>13</v>
      </c>
      <c r="B19" s="1">
        <v>44460000</v>
      </c>
      <c r="C19">
        <v>119</v>
      </c>
      <c r="D19">
        <v>120</v>
      </c>
      <c r="E19" s="3">
        <f t="shared" si="1"/>
        <v>686</v>
      </c>
      <c r="F19" s="3">
        <f t="shared" si="0"/>
        <v>15429.599640125954</v>
      </c>
    </row>
    <row r="20" spans="1:6" x14ac:dyDescent="0.6">
      <c r="A20" t="s">
        <v>14</v>
      </c>
      <c r="B20" s="1">
        <v>44460000</v>
      </c>
      <c r="C20">
        <v>200</v>
      </c>
      <c r="D20">
        <v>161</v>
      </c>
      <c r="E20" s="3">
        <f t="shared" si="1"/>
        <v>625</v>
      </c>
      <c r="F20" s="3">
        <f t="shared" si="0"/>
        <v>14057.579847053532</v>
      </c>
    </row>
    <row r="21" spans="1:6" x14ac:dyDescent="0.6">
      <c r="A21" t="s">
        <v>15</v>
      </c>
      <c r="B21" s="1">
        <v>44460000</v>
      </c>
      <c r="C21">
        <v>234</v>
      </c>
      <c r="D21">
        <v>158</v>
      </c>
      <c r="E21" s="3">
        <f t="shared" si="1"/>
        <v>753</v>
      </c>
      <c r="F21" s="3">
        <f t="shared" si="0"/>
        <v>16936.572199730093</v>
      </c>
    </row>
    <row r="22" spans="1:6" x14ac:dyDescent="0.6">
      <c r="A22" t="s">
        <v>16</v>
      </c>
      <c r="B22" s="1">
        <v>44460000</v>
      </c>
      <c r="C22">
        <v>163</v>
      </c>
      <c r="D22">
        <v>179</v>
      </c>
      <c r="E22" s="3">
        <f t="shared" si="1"/>
        <v>831</v>
      </c>
      <c r="F22" s="3">
        <f t="shared" si="0"/>
        <v>18690.958164642376</v>
      </c>
    </row>
    <row r="23" spans="1:6" x14ac:dyDescent="0.6">
      <c r="A23" t="s">
        <v>17</v>
      </c>
      <c r="B23" s="1">
        <v>44460000</v>
      </c>
      <c r="C23">
        <v>115</v>
      </c>
      <c r="D23">
        <v>84</v>
      </c>
      <c r="E23" s="3">
        <f t="shared" si="1"/>
        <v>675</v>
      </c>
      <c r="F23" s="3">
        <f t="shared" si="0"/>
        <v>15182.186234817815</v>
      </c>
    </row>
    <row r="24" spans="1:6" x14ac:dyDescent="0.6">
      <c r="A24" t="s">
        <v>18</v>
      </c>
      <c r="B24" s="1">
        <v>44460000</v>
      </c>
      <c r="C24">
        <v>158</v>
      </c>
      <c r="D24">
        <v>112</v>
      </c>
      <c r="E24" s="3">
        <f t="shared" si="1"/>
        <v>551</v>
      </c>
      <c r="F24" s="3">
        <f t="shared" si="0"/>
        <v>12393.162393162393</v>
      </c>
    </row>
    <row r="25" spans="1:6" x14ac:dyDescent="0.6">
      <c r="B25" s="1"/>
      <c r="E25" s="3"/>
      <c r="F25" s="3"/>
    </row>
    <row r="26" spans="1:6" x14ac:dyDescent="0.6">
      <c r="B26" s="1"/>
      <c r="E26" s="3"/>
      <c r="F26" s="3"/>
    </row>
    <row r="27" spans="1:6" x14ac:dyDescent="0.6">
      <c r="B27" s="1"/>
      <c r="E27" s="3"/>
      <c r="F27" s="3"/>
    </row>
    <row r="28" spans="1:6" x14ac:dyDescent="0.6">
      <c r="B28" s="1"/>
      <c r="F28" s="2"/>
    </row>
    <row r="29" spans="1:6" x14ac:dyDescent="0.6">
      <c r="B29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동국제약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2025-01-28T11:03:29Z</dcterms:created>
  <dcterms:modified xsi:type="dcterms:W3CDTF">2026-08-02T23:54:55Z</dcterms:modified>
</cp:coreProperties>
</file>