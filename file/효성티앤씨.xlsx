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6BDAF713-45F7-4D3B-B819-0B6396ED9270}" xr6:coauthVersionLast="47" xr6:coauthVersionMax="47" xr10:uidLastSave="{00000000-0000-0000-0000-000000000000}"/>
  <bookViews>
    <workbookView xWindow="4605" yWindow="2130" windowWidth="10500" windowHeight="11055" xr2:uid="{574589F6-5CF4-430A-9C77-3C46C2002903}"/>
  </bookViews>
  <sheets>
    <sheet name="효성티앤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E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<sst xmlns="http://schemas.openxmlformats.org/spreadsheetml/2006/main" count="30" uniqueCount="30">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</sst>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42" applyNumberFormat="1" applyFont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76" fontId="0" fillId="0" borderId="10" xfId="42" applyNumberFormat="1" applyFont="1" applyBorder="1">
      <alignment vertical="center"/>
    </xf>
    <xf numFmtId="176" fontId="19" fillId="33" borderId="10" xfId="0" applyNumberFormat="1" applyFont="1" applyFill="1" applyBorder="1">
      <alignment vertical="center"/>
    </xf>
    <xf numFmtId="176" fontId="19" fillId="0" borderId="10" xfId="0" applyNumberFormat="1" applyFont="1" applyBorder="1">
      <alignment vertical="center"/>
    </xf>
    <xf numFmtId="176" fontId="20" fillId="33" borderId="10" xfId="0" applyNumberFormat="1" applyFont="1" applyFill="1" applyBorder="1">
      <alignment vertical="center"/>
    </xf>
    <xf numFmtId="176" fontId="20" fillId="0" borderId="10" xfId="42" applyNumberFormat="1" applyFon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9"/>
  <sheetViews>
    <sheetView tabSelected="1" workbookViewId="0">
      <selection activeCell="F2" sqref="F2:F25"/>
    </sheetView>
  </sheetViews>
  <sheetFormatPr defaultRowHeight="16.899999999999999"/>
  <cols>
    <col min="2" max="2" width="11.4375" bestFit="1" customWidth="1"/>
    <col min="3" max="4" width="9.0625" bestFit="1" customWidth="1"/>
    <col min="5" max="5" width="12.8125" customWidth="1"/>
    <col min="6" max="6" width="9.125" bestFit="1" customWidth="1"/>
  </cols>
  <sheetData>
    <row r="1" spans="1:6">
      <c r="A1" s="3" t="s">
        <v>0</v>
      </c>
      <c r="B1" s="3" t="s">
        <v>23</v>
      </c>
      <c r="C1" s="3" t="s">
        <v>1</v>
      </c>
      <c r="D1" s="3" t="s">
        <v>2</v>
      </c>
      <c r="E1" s="3" t="s">
        <v>21</v>
      </c>
      <c r="F1" s="3" t="s">
        <v>22</v>
      </c>
    </row>
    <row r="2" spans="1:6">
      <c r="A2" s="3" t="s">
        <v>29</v>
      </c>
      <c r="B2" s="4">
        <v>4327682</v>
      </c>
      <c r="C2" s="8">
        <v>1120</v>
      </c>
      <c r="D2" s="8">
        <v>465</v>
      </c>
      <c r="E2" s="9">
        <f>(C2*2+C3*2)</f>
        <v>4924</v>
      </c>
      <c r="F2" s="9">
        <f>E2*100000000/B2*5</f>
        <v>568895.7737652628</v>
      </c>
    </row>
    <row r="3" spans="1:6">
      <c r="A3" s="3" t="s">
        <v>28</v>
      </c>
      <c r="B3" s="4">
        <v>4327682</v>
      </c>
      <c r="C3" s="8">
        <v>1342</v>
      </c>
      <c r="D3" s="8">
        <v>593</v>
      </c>
      <c r="E3" s="9">
        <f>(C3*2+C2*2)</f>
        <v>4924</v>
      </c>
      <c r="F3" s="9">
        <f t="shared" ref="F3:F25" si="0">E3*100000000/B3*5</f>
        <v>568895.7737652628</v>
      </c>
    </row>
    <row r="4" spans="1:6">
      <c r="A4" s="3" t="s">
        <v>27</v>
      </c>
      <c r="B4" s="4">
        <v>4327682</v>
      </c>
      <c r="C4" s="8">
        <v>1225.8</v>
      </c>
      <c r="D4" s="8">
        <v>557.20000000000005</v>
      </c>
      <c r="E4" s="9">
        <f>(C3+C4*2+C2)</f>
        <v>4913.6000000000004</v>
      </c>
      <c r="F4" s="9">
        <f t="shared" si="0"/>
        <v>567694.20673700154</v>
      </c>
    </row>
    <row r="5" spans="1:6">
      <c r="A5" s="3" t="s">
        <v>26</v>
      </c>
      <c r="B5" s="4">
        <v>4327682</v>
      </c>
      <c r="C5" s="6">
        <v>807.2</v>
      </c>
      <c r="D5" s="6">
        <v>316.2</v>
      </c>
      <c r="E5" s="5">
        <f t="shared" ref="E5:E25" si="1">(C4+C5*2+C3)</f>
        <v>4182.2</v>
      </c>
      <c r="F5" s="5">
        <f t="shared" si="0"/>
        <v>483191.69476870069</v>
      </c>
    </row>
    <row r="6" spans="1:6">
      <c r="A6" s="3" t="s">
        <v>25</v>
      </c>
      <c r="B6" s="4">
        <v>4327682</v>
      </c>
      <c r="C6" s="6">
        <v>447.4</v>
      </c>
      <c r="D6" s="6">
        <v>-299.89999999999998</v>
      </c>
      <c r="E6" s="5">
        <f t="shared" si="1"/>
        <v>2927.8</v>
      </c>
      <c r="F6" s="5">
        <f t="shared" si="0"/>
        <v>338264.22551379702</v>
      </c>
    </row>
    <row r="7" spans="1:6">
      <c r="A7" s="3" t="s">
        <v>24</v>
      </c>
      <c r="B7" s="4">
        <v>4327682</v>
      </c>
      <c r="C7" s="6">
        <v>561</v>
      </c>
      <c r="D7" s="6">
        <v>80</v>
      </c>
      <c r="E7" s="5">
        <f t="shared" si="1"/>
        <v>2376.6000000000004</v>
      </c>
      <c r="F7" s="5">
        <f t="shared" si="0"/>
        <v>274581.1730159471</v>
      </c>
    </row>
    <row r="8" spans="1:6">
      <c r="A8" s="3" t="s">
        <v>20</v>
      </c>
      <c r="B8" s="4">
        <v>4327682</v>
      </c>
      <c r="C8" s="7">
        <v>733</v>
      </c>
      <c r="D8" s="7">
        <v>122</v>
      </c>
      <c r="E8" s="5">
        <f t="shared" si="1"/>
        <v>2474.4</v>
      </c>
      <c r="F8" s="5">
        <f t="shared" si="0"/>
        <v>285880.52449325065</v>
      </c>
    </row>
    <row r="9" spans="1:6">
      <c r="A9" s="3" t="s">
        <v>3</v>
      </c>
      <c r="B9" s="4">
        <v>4327682</v>
      </c>
      <c r="C9" s="7">
        <v>774</v>
      </c>
      <c r="D9" s="7">
        <v>205</v>
      </c>
      <c r="E9" s="5">
        <f t="shared" si="1"/>
        <v>2842</v>
      </c>
      <c r="F9" s="5">
        <f t="shared" si="0"/>
        <v>328351.29753064108</v>
      </c>
    </row>
    <row r="10" spans="1:6">
      <c r="A10" s="3" t="s">
        <v>4</v>
      </c>
      <c r="B10" s="4">
        <v>4327682</v>
      </c>
      <c r="C10" s="7">
        <v>424</v>
      </c>
      <c r="D10" s="7">
        <v>483</v>
      </c>
      <c r="E10" s="5">
        <f t="shared" si="1"/>
        <v>2355</v>
      </c>
      <c r="F10" s="5">
        <f t="shared" si="0"/>
        <v>272085.6107264813</v>
      </c>
    </row>
    <row r="11" spans="1:6">
      <c r="A11" s="3" t="s">
        <v>5</v>
      </c>
      <c r="B11" s="4">
        <v>4327682</v>
      </c>
      <c r="C11" s="4">
        <v>676</v>
      </c>
      <c r="D11" s="4">
        <v>276</v>
      </c>
      <c r="E11" s="5">
        <f t="shared" si="1"/>
        <v>2550</v>
      </c>
      <c r="F11" s="5">
        <f t="shared" si="0"/>
        <v>294614.99250638101</v>
      </c>
    </row>
    <row r="12" spans="1:6">
      <c r="A12" s="3" t="s">
        <v>6</v>
      </c>
      <c r="B12" s="4">
        <v>4327682</v>
      </c>
      <c r="C12" s="4">
        <v>846</v>
      </c>
      <c r="D12" s="4">
        <v>518</v>
      </c>
      <c r="E12" s="5">
        <f t="shared" si="1"/>
        <v>2792</v>
      </c>
      <c r="F12" s="5">
        <f t="shared" si="0"/>
        <v>322574.53297169245</v>
      </c>
    </row>
    <row r="13" spans="1:6">
      <c r="A13" s="3" t="s">
        <v>7</v>
      </c>
      <c r="B13" s="4">
        <v>4327682</v>
      </c>
      <c r="C13" s="4">
        <v>761</v>
      </c>
      <c r="D13" s="4">
        <v>561</v>
      </c>
      <c r="E13" s="5">
        <f t="shared" si="1"/>
        <v>3044</v>
      </c>
      <c r="F13" s="5">
        <f t="shared" si="0"/>
        <v>351689.42634879367</v>
      </c>
    </row>
    <row r="14" spans="1:6">
      <c r="A14" s="3" t="s">
        <v>8</v>
      </c>
      <c r="B14" s="4">
        <v>4327682</v>
      </c>
      <c r="C14" s="4">
        <v>290</v>
      </c>
      <c r="D14" s="4">
        <v>355</v>
      </c>
      <c r="E14" s="5">
        <f t="shared" si="1"/>
        <v>2187</v>
      </c>
      <c r="F14" s="5">
        <f t="shared" si="0"/>
        <v>252675.68180841382</v>
      </c>
    </row>
    <row r="15" spans="1:6">
      <c r="A15" s="3" t="s">
        <v>9</v>
      </c>
      <c r="B15" s="4">
        <v>4327682</v>
      </c>
      <c r="C15" s="4">
        <v>506</v>
      </c>
      <c r="D15" s="4">
        <v>59</v>
      </c>
      <c r="E15" s="5">
        <f t="shared" si="1"/>
        <v>2063</v>
      </c>
      <c r="F15" s="5">
        <f t="shared" si="0"/>
        <v>238349.30570222117</v>
      </c>
    </row>
    <row r="16" spans="1:6">
      <c r="A16" s="3" t="s">
        <v>10</v>
      </c>
      <c r="B16" s="4">
        <v>4327682</v>
      </c>
      <c r="C16" s="4">
        <v>645</v>
      </c>
      <c r="D16" s="4">
        <v>198</v>
      </c>
      <c r="E16" s="5">
        <f t="shared" si="1"/>
        <v>2086</v>
      </c>
      <c r="F16" s="5">
        <f t="shared" si="0"/>
        <v>241006.61739933756</v>
      </c>
    </row>
    <row r="17" spans="1:6">
      <c r="A17" s="3" t="s">
        <v>11</v>
      </c>
      <c r="B17" s="4">
        <v>4327682</v>
      </c>
      <c r="C17" s="4">
        <v>693</v>
      </c>
      <c r="D17" s="4">
        <v>375</v>
      </c>
      <c r="E17" s="5">
        <f t="shared" si="1"/>
        <v>2537</v>
      </c>
      <c r="F17" s="5">
        <f t="shared" si="0"/>
        <v>293113.03372105438</v>
      </c>
    </row>
    <row r="18" spans="1:6">
      <c r="A18" s="3" t="s">
        <v>12</v>
      </c>
      <c r="B18" s="4">
        <v>4327682</v>
      </c>
      <c r="C18" s="4">
        <v>-432</v>
      </c>
      <c r="D18" s="4">
        <v>-70</v>
      </c>
      <c r="E18" s="5">
        <f t="shared" si="1"/>
        <v>474</v>
      </c>
      <c r="F18" s="5">
        <f t="shared" si="0"/>
        <v>54763.728018833179</v>
      </c>
    </row>
    <row r="19" spans="1:6">
      <c r="A19" s="3" t="s">
        <v>13</v>
      </c>
      <c r="B19" s="4">
        <v>4327682</v>
      </c>
      <c r="C19" s="4">
        <v>-1108</v>
      </c>
      <c r="D19" s="4">
        <v>-1221</v>
      </c>
      <c r="E19" s="5">
        <f t="shared" si="1"/>
        <v>-1955</v>
      </c>
      <c r="F19" s="5">
        <f t="shared" si="0"/>
        <v>-225871.49425489211</v>
      </c>
    </row>
    <row r="20" spans="1:6">
      <c r="A20" s="3" t="s">
        <v>14</v>
      </c>
      <c r="B20" s="4">
        <v>4327682</v>
      </c>
      <c r="C20" s="4">
        <v>874</v>
      </c>
      <c r="D20" s="4">
        <v>429</v>
      </c>
      <c r="E20" s="5">
        <f t="shared" si="1"/>
        <v>208</v>
      </c>
      <c r="F20" s="5">
        <f t="shared" si="0"/>
        <v>24031.340565226375</v>
      </c>
    </row>
    <row r="21" spans="1:6">
      <c r="A21" s="3" t="s">
        <v>15</v>
      </c>
      <c r="B21" s="4">
        <v>4327682</v>
      </c>
      <c r="C21" s="4">
        <v>1901</v>
      </c>
      <c r="D21" s="4">
        <v>1054</v>
      </c>
      <c r="E21" s="5">
        <f t="shared" si="1"/>
        <v>3568</v>
      </c>
      <c r="F21" s="5">
        <f t="shared" si="0"/>
        <v>412229.91892657545</v>
      </c>
    </row>
    <row r="22" spans="1:6">
      <c r="A22" s="3" t="s">
        <v>16</v>
      </c>
      <c r="B22" s="4">
        <v>4327682</v>
      </c>
      <c r="C22" s="4">
        <v>3559</v>
      </c>
      <c r="D22" s="4">
        <v>2176</v>
      </c>
      <c r="E22" s="5">
        <f t="shared" si="1"/>
        <v>9893</v>
      </c>
      <c r="F22" s="5">
        <f t="shared" si="0"/>
        <v>1142990.6356335795</v>
      </c>
    </row>
    <row r="23" spans="1:6">
      <c r="A23" s="3" t="s">
        <v>17</v>
      </c>
      <c r="B23" s="4">
        <v>4327682</v>
      </c>
      <c r="C23" s="4">
        <v>4339</v>
      </c>
      <c r="D23" s="4">
        <v>3107</v>
      </c>
      <c r="E23" s="5">
        <f t="shared" si="1"/>
        <v>14138</v>
      </c>
      <c r="F23" s="5">
        <f t="shared" si="0"/>
        <v>1633437.9466883196</v>
      </c>
    </row>
    <row r="24" spans="1:6">
      <c r="A24" s="3" t="s">
        <v>18</v>
      </c>
      <c r="B24" s="4">
        <v>4327682</v>
      </c>
      <c r="C24" s="4">
        <v>3871</v>
      </c>
      <c r="D24" s="4">
        <v>2996</v>
      </c>
      <c r="E24" s="5">
        <f t="shared" si="1"/>
        <v>15640</v>
      </c>
      <c r="F24" s="5">
        <f t="shared" si="0"/>
        <v>1806971.9540391369</v>
      </c>
    </row>
    <row r="25" spans="1:6">
      <c r="A25" s="3" t="s">
        <v>19</v>
      </c>
      <c r="B25" s="4">
        <v>4327682</v>
      </c>
      <c r="C25" s="4">
        <v>2468</v>
      </c>
      <c r="D25" s="4">
        <v>1801</v>
      </c>
      <c r="E25" s="5">
        <f t="shared" si="1"/>
        <v>13146</v>
      </c>
      <c r="F25" s="5">
        <f t="shared" si="0"/>
        <v>1518826.9378387784</v>
      </c>
    </row>
    <row r="26" spans="1:6">
      <c r="B26" s="1"/>
      <c r="C26" s="1"/>
      <c r="D26" s="1"/>
      <c r="E26" s="2"/>
      <c r="F26" s="2"/>
    </row>
    <row r="27" spans="1:6">
      <c r="B27" s="1"/>
      <c r="C27" s="1"/>
      <c r="D27" s="1"/>
      <c r="E27" s="1"/>
      <c r="F27" s="1"/>
    </row>
    <row r="28" spans="1:6">
      <c r="B28" s="1"/>
      <c r="C28" s="1"/>
      <c r="D28" s="1"/>
      <c r="E28" s="1"/>
      <c r="F28" s="1"/>
    </row>
    <row r="29" spans="1:6">
      <c r="B29" s="1"/>
      <c r="C29" s="1"/>
      <c r="D29" s="1"/>
      <c r="E29" s="1"/>
      <c r="F29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효성티앤씨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2026-06-14T09:43:42Z</dcterms:modified>
</cp:coreProperties>
</file>