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내 드라이브\Colab Notebooks\FIN\"/>
    </mc:Choice>
  </mc:AlternateContent>
  <xr:revisionPtr revIDLastSave="0" documentId="13_ncr:1_{9B7F28B2-DD35-47E8-8F02-F01D2932314A}" xr6:coauthVersionLast="47" xr6:coauthVersionMax="47" xr10:uidLastSave="{00000000-0000-0000-0000-000000000000}"/>
  <bookViews>
    <workbookView xWindow="28702" yWindow="-98" windowWidth="28995" windowHeight="16395" xr2:uid="{574589F6-5CF4-430A-9C77-3C46C2002903}"/>
  </bookViews>
  <sheets>
    <sheet name="스튜디오드래곤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" i="1"/>
  <c r="E3" i="1"/>
  <c r="E2" i="1"/>
  <c r="E18" i="1"/>
  <c r="E19" i="1"/>
  <c r="E20" i="1"/>
  <c r="E21" i="1"/>
  <c r="E22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<sst xmlns="http://schemas.openxmlformats.org/spreadsheetml/2006/main" count="29" uniqueCount="29">
  <si>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</si>
  <si>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</si>
  <si>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</si>
  <si>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</si>
  <si>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</si>
  <si>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</si>
  <si>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</si>
  <si>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</si>
  <si>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</si>
  <si>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</si>
  <si>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</si>
  <si>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</si>
  <si>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</si>
  <si>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</si>
  <si>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</si>
  <si>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</si>
  <si>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</si>
  <si>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</si>
  <si>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</si>
  <si>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</si>
  <si>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2025.2Q</t>
    <phoneticPr fontId="18" type="noConversion"/>
  </si>
  <si>
    <t>4Q_income</t>
  </si>
  <si>
    <t>목표가</t>
  </si>
  <si>
    <t>상장주식수</t>
  </si>
  <si>
    <t>2020.4Q</t>
    <phoneticPr fontId="18" type="noConversion"/>
  </si>
  <si>
    <t>2020.3Q</t>
    <phoneticPr fontId="18" type="noConversion"/>
  </si>
  <si>
    <t>2020.2Q</t>
    <phoneticPr fontId="18" type="noConversion"/>
  </si>
  <si>
    <t>2020.1Q</t>
    <phoneticPr fontId="18" type="noConversion"/>
  </si>
  <si>
    <t>2025.3Q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</si>
</sst>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70C4F-4979-4347-A0AE-4803346AD117}">
  <dimension ref="A1:F24"/>
  <sheetViews>
    <sheetView tabSelected="1" workbookViewId="0">
      <selection activeCell="F2" sqref="F2:F22"/>
    </sheetView>
  </sheetViews>
  <sheetFormatPr defaultRowHeight="16.899999999999999" x14ac:dyDescent="0.6"/>
  <cols>
    <col min="2" max="2" width="10.25" bestFit="1" customWidth="1"/>
    <col min="5" max="5" width="12.875" customWidth="1"/>
    <col min="6" max="6" width="8.25" bestFit="1" customWidth="1"/>
  </cols>
  <sheetData>
    <row r="1" spans="1:6" x14ac:dyDescent="0.6">
      <c r="A1" t="s">
        <v>0</v>
      </c>
      <c r="B1" t="s">
        <v>23</v>
      </c>
      <c r="C1" t="s">
        <v>1</v>
      </c>
      <c r="D1" t="s">
        <v>2</v>
      </c>
      <c r="E1" t="s">
        <v>21</v>
      </c>
      <c r="F1" t="s">
        <v>22</v>
      </c>
    </row>
    <row r="2" spans="1:6" x14ac:dyDescent="0.6">
      <c r="A2" t="s">
        <v>28</v>
      </c>
      <c r="B2" s="1">
        <v>30058498</v>
      </c>
      <c r="C2">
        <v>205</v>
      </c>
      <c r="D2">
        <v>185</v>
      </c>
      <c r="E2">
        <f>SUM(C2:C5)</f>
        <v>421</v>
      </c>
      <c r="F2" s="2">
        <f>E2*100000000/B2*40</f>
        <v>56024.090092592116</v>
      </c>
    </row>
    <row r="3" spans="1:6" x14ac:dyDescent="0.6">
      <c r="A3" t="s">
        <v>20</v>
      </c>
      <c r="B3" s="1">
        <v>30058498</v>
      </c>
      <c r="C3">
        <v>69</v>
      </c>
      <c r="D3">
        <v>71</v>
      </c>
      <c r="E3">
        <f>SUM(C2:C5)</f>
        <v>421</v>
      </c>
      <c r="F3" s="2">
        <f t="shared" ref="F3:F22" si="0">E3*100000000/B3*40</f>
        <v>56024.090092592116</v>
      </c>
    </row>
    <row r="4" spans="1:6" x14ac:dyDescent="0.6">
      <c r="A4" t="s">
        <v>3</v>
      </c>
      <c r="B4" s="1">
        <v>30058498</v>
      </c>
      <c r="C4">
        <v>110</v>
      </c>
      <c r="D4">
        <v>109</v>
      </c>
      <c r="E4">
        <f>SUM(C3:C6)</f>
        <v>207</v>
      </c>
      <c r="F4" s="2">
        <f t="shared" si="0"/>
        <v>27546.2865775928</v>
      </c>
    </row>
    <row r="5" spans="1:6" x14ac:dyDescent="0.6">
      <c r="A5" t="s">
        <v>4</v>
      </c>
      <c r="B5" s="1">
        <v>30058498</v>
      </c>
      <c r="C5" s="1">
        <v>37</v>
      </c>
      <c r="D5" s="1">
        <v>-15</v>
      </c>
      <c r="E5">
        <f t="shared" ref="E5:E17" si="1">SUM(C4:C7)</f>
        <v>243</v>
      </c>
      <c r="F5" s="2">
        <f t="shared" si="0"/>
        <v>32336.945112826328</v>
      </c>
    </row>
    <row r="6" spans="1:6" x14ac:dyDescent="0.6">
      <c r="A6" t="s">
        <v>5</v>
      </c>
      <c r="B6" s="1">
        <v>30058498</v>
      </c>
      <c r="C6" s="1">
        <v>-9</v>
      </c>
      <c r="D6" s="1">
        <v>-61</v>
      </c>
      <c r="E6">
        <f t="shared" si="1"/>
        <v>348</v>
      </c>
      <c r="F6" s="2">
        <f t="shared" si="0"/>
        <v>46309.699173924128</v>
      </c>
    </row>
    <row r="7" spans="1:6" x14ac:dyDescent="0.6">
      <c r="A7" t="s">
        <v>6</v>
      </c>
      <c r="B7" s="1">
        <v>30058498</v>
      </c>
      <c r="C7" s="1">
        <v>105</v>
      </c>
      <c r="D7" s="1">
        <v>82</v>
      </c>
      <c r="E7">
        <f t="shared" si="1"/>
        <v>273</v>
      </c>
      <c r="F7" s="2">
        <f t="shared" si="0"/>
        <v>36329.160558854273</v>
      </c>
    </row>
    <row r="8" spans="1:6" x14ac:dyDescent="0.6">
      <c r="A8" t="s">
        <v>7</v>
      </c>
      <c r="B8" s="1">
        <v>30058498</v>
      </c>
      <c r="C8" s="1">
        <v>215</v>
      </c>
      <c r="D8" s="1">
        <v>202</v>
      </c>
      <c r="E8">
        <f t="shared" si="1"/>
        <v>501</v>
      </c>
      <c r="F8" s="2">
        <f t="shared" si="0"/>
        <v>66669.997948666627</v>
      </c>
    </row>
    <row r="9" spans="1:6" x14ac:dyDescent="0.6">
      <c r="A9" t="s">
        <v>8</v>
      </c>
      <c r="B9" s="1">
        <v>30058498</v>
      </c>
      <c r="C9" s="1">
        <v>-38</v>
      </c>
      <c r="D9" s="1">
        <v>-167</v>
      </c>
      <c r="E9">
        <f t="shared" si="1"/>
        <v>559</v>
      </c>
      <c r="F9" s="2">
        <f t="shared" si="0"/>
        <v>74388.281144320659</v>
      </c>
    </row>
    <row r="10" spans="1:6" x14ac:dyDescent="0.6">
      <c r="A10" t="s">
        <v>9</v>
      </c>
      <c r="B10" s="1">
        <v>30058498</v>
      </c>
      <c r="C10" s="1">
        <v>219</v>
      </c>
      <c r="D10">
        <v>182</v>
      </c>
      <c r="E10">
        <f t="shared" si="1"/>
        <v>560</v>
      </c>
      <c r="F10" s="2">
        <f t="shared" si="0"/>
        <v>74521.354992521578</v>
      </c>
    </row>
    <row r="11" spans="1:6" x14ac:dyDescent="0.6">
      <c r="A11" t="s">
        <v>10</v>
      </c>
      <c r="B11" s="1">
        <v>30058498</v>
      </c>
      <c r="C11">
        <v>163</v>
      </c>
      <c r="D11" s="1">
        <v>102</v>
      </c>
      <c r="E11">
        <f t="shared" si="1"/>
        <v>610</v>
      </c>
      <c r="F11" s="2">
        <f t="shared" si="0"/>
        <v>81175.047402568147</v>
      </c>
    </row>
    <row r="12" spans="1:6" x14ac:dyDescent="0.6">
      <c r="A12" t="s">
        <v>11</v>
      </c>
      <c r="B12" s="1">
        <v>30058498</v>
      </c>
      <c r="C12">
        <v>216</v>
      </c>
      <c r="D12">
        <v>184</v>
      </c>
      <c r="E12">
        <f t="shared" si="1"/>
        <v>580</v>
      </c>
      <c r="F12" s="2">
        <f t="shared" si="0"/>
        <v>77182.831956540205</v>
      </c>
    </row>
    <row r="13" spans="1:6" x14ac:dyDescent="0.6">
      <c r="A13" t="s">
        <v>12</v>
      </c>
      <c r="B13" s="1">
        <v>30058498</v>
      </c>
      <c r="C13">
        <v>12</v>
      </c>
      <c r="D13" s="1">
        <v>-85</v>
      </c>
      <c r="E13">
        <f t="shared" si="1"/>
        <v>687</v>
      </c>
      <c r="F13" s="2">
        <f t="shared" si="0"/>
        <v>91421.733714039874</v>
      </c>
    </row>
    <row r="14" spans="1:6" x14ac:dyDescent="0.6">
      <c r="A14" t="s">
        <v>13</v>
      </c>
      <c r="B14" s="1">
        <v>30058498</v>
      </c>
      <c r="C14" s="1">
        <v>189</v>
      </c>
      <c r="D14" s="1">
        <v>178</v>
      </c>
      <c r="E14">
        <f t="shared" si="1"/>
        <v>652</v>
      </c>
      <c r="F14" s="2">
        <f t="shared" si="0"/>
        <v>86764.149027007283</v>
      </c>
    </row>
    <row r="15" spans="1:6" x14ac:dyDescent="0.6">
      <c r="A15" t="s">
        <v>14</v>
      </c>
      <c r="B15" s="1">
        <v>30058498</v>
      </c>
      <c r="C15" s="1">
        <v>270</v>
      </c>
      <c r="D15" s="1">
        <v>256</v>
      </c>
      <c r="E15">
        <f t="shared" si="1"/>
        <v>703</v>
      </c>
      <c r="F15" s="2">
        <f t="shared" si="0"/>
        <v>93550.91528525477</v>
      </c>
    </row>
    <row r="16" spans="1:6" x14ac:dyDescent="0.6">
      <c r="A16" t="s">
        <v>15</v>
      </c>
      <c r="B16" s="1">
        <v>30058498</v>
      </c>
      <c r="C16" s="1">
        <v>181</v>
      </c>
      <c r="D16" s="1">
        <v>156</v>
      </c>
      <c r="E16">
        <f t="shared" si="1"/>
        <v>660</v>
      </c>
      <c r="F16" s="2">
        <f t="shared" si="0"/>
        <v>87828.739812614731</v>
      </c>
    </row>
    <row r="17" spans="1:6" x14ac:dyDescent="0.6">
      <c r="A17" t="s">
        <v>16</v>
      </c>
      <c r="B17" s="1">
        <v>30058498</v>
      </c>
      <c r="C17" s="1">
        <v>63</v>
      </c>
      <c r="D17" s="1">
        <v>-8</v>
      </c>
      <c r="E17">
        <f t="shared" si="1"/>
        <v>528</v>
      </c>
      <c r="F17" s="2">
        <f t="shared" si="0"/>
        <v>70262.99185009177</v>
      </c>
    </row>
    <row r="18" spans="1:6" x14ac:dyDescent="0.6">
      <c r="A18" t="s">
        <v>17</v>
      </c>
      <c r="B18" s="1">
        <v>30058498</v>
      </c>
      <c r="C18" s="1">
        <v>146</v>
      </c>
      <c r="D18" s="1">
        <v>148</v>
      </c>
      <c r="E18">
        <f t="shared" ref="E18:E22" si="2">SUM(C17:C20)</f>
        <v>526</v>
      </c>
      <c r="F18" s="2">
        <f t="shared" si="0"/>
        <v>69996.844153689919</v>
      </c>
    </row>
    <row r="19" spans="1:6" x14ac:dyDescent="0.6">
      <c r="A19" t="s">
        <v>18</v>
      </c>
      <c r="B19" s="1">
        <v>30058498</v>
      </c>
      <c r="C19" s="1">
        <v>138</v>
      </c>
      <c r="D19" s="1">
        <v>95</v>
      </c>
      <c r="E19">
        <f t="shared" si="2"/>
        <v>509</v>
      </c>
      <c r="F19" s="2">
        <f t="shared" si="0"/>
        <v>67734.58873427409</v>
      </c>
    </row>
    <row r="20" spans="1:6" x14ac:dyDescent="0.6">
      <c r="A20" t="s">
        <v>19</v>
      </c>
      <c r="B20" s="1">
        <v>30058498</v>
      </c>
      <c r="C20" s="1">
        <v>179</v>
      </c>
      <c r="D20" s="1">
        <v>156</v>
      </c>
      <c r="E20">
        <f t="shared" si="2"/>
        <v>523</v>
      </c>
      <c r="F20" s="2">
        <f t="shared" si="0"/>
        <v>69597.622609087121</v>
      </c>
    </row>
    <row r="21" spans="1:6" x14ac:dyDescent="0.6">
      <c r="A21" t="s">
        <v>24</v>
      </c>
      <c r="B21" s="1">
        <v>30058498</v>
      </c>
      <c r="C21">
        <v>46</v>
      </c>
      <c r="D21">
        <v>-29</v>
      </c>
      <c r="E21">
        <f t="shared" si="2"/>
        <v>554</v>
      </c>
      <c r="F21" s="2">
        <f t="shared" si="0"/>
        <v>73722.911903315995</v>
      </c>
    </row>
    <row r="22" spans="1:6" x14ac:dyDescent="0.6">
      <c r="A22" t="s">
        <v>25</v>
      </c>
      <c r="B22" s="1">
        <v>30058498</v>
      </c>
      <c r="C22" s="1">
        <v>160</v>
      </c>
      <c r="D22" s="1">
        <v>106</v>
      </c>
      <c r="E22">
        <f t="shared" si="2"/>
        <v>491</v>
      </c>
      <c r="F22" s="2">
        <f t="shared" si="0"/>
        <v>65339.259466657313</v>
      </c>
    </row>
    <row r="23" spans="1:6" x14ac:dyDescent="0.6">
      <c r="A23" t="s">
        <v>26</v>
      </c>
      <c r="B23" s="1">
        <v>30058498</v>
      </c>
      <c r="C23">
        <v>169</v>
      </c>
      <c r="D23">
        <v>134</v>
      </c>
      <c r="F23" s="2"/>
    </row>
    <row r="24" spans="1:6" x14ac:dyDescent="0.6">
      <c r="A24" t="s">
        <v>27</v>
      </c>
      <c r="B24" s="1">
        <v>30058498</v>
      </c>
      <c r="C24">
        <v>116</v>
      </c>
      <c r="D24">
        <v>85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스튜디오드래곤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ieguru</cp:lastModifiedBy>
  <dcterms:created xsi:type="dcterms:W3CDTF">2025-01-31T15:13:54Z</dcterms:created>
  <dcterms:modified xsi:type="dcterms:W3CDTF">2025-04-14T04:30:15Z</dcterms:modified>
</cp:coreProperties>
</file>