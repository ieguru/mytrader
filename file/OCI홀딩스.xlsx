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0. JupyterNotebook\Finance\"/>
    </mc:Choice>
  </mc:AlternateContent>
  <xr:revisionPtr revIDLastSave="0" documentId="13_ncr:1_{E2CE6811-5C96-4AD7-8A1D-861C765A027F}" xr6:coauthVersionLast="47" xr6:coauthVersionMax="47" xr10:uidLastSave="{00000000-0000-0000-0000-000000000000}"/>
  <bookViews>
    <workbookView xWindow="28702" yWindow="-98" windowWidth="28995" windowHeight="16395" xr2:uid="{B4A2AFA2-309D-402A-8814-206C193F4B61}"/>
  </bookViews>
  <sheets>
    <sheet name="OCI홀딩스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4" i="1"/>
  <c r="E3" i="1"/>
  <c r="E2" i="1"/>
</calcChain>
</file>

<file path=xl/sharedStrings.xml><?xml version="1.0" encoding="utf-8"?>
<sst xmlns="http://schemas.openxmlformats.org/spreadsheetml/2006/main" count="35" uniqueCount="35">
  <si>
    <t>분기</t>
  </si>
  <si>
    <t>영업이익</t>
  </si>
  <si>
    <t>순이익</t>
  </si>
  <si>
    <t>2025.1Q</t>
  </si>
  <si>
    <t>2024.4Q</t>
  </si>
  <si>
    <t>2024.3Q</t>
  </si>
  <si>
    <t>2024.2Q</t>
  </si>
  <si>
    <t>2024.1Q</t>
  </si>
  <si>
    <t>2023.4Q</t>
  </si>
  <si>
    <t>2023.3Q</t>
  </si>
  <si>
    <t>2023.2Q</t>
  </si>
  <si>
    <t>2023.1Q</t>
  </si>
  <si>
    <t>2022.4Q</t>
  </si>
  <si>
    <t>2022.3Q</t>
  </si>
  <si>
    <t>2022.2Q</t>
  </si>
  <si>
    <t>2022.1Q</t>
  </si>
  <si>
    <t>2021.4Q</t>
  </si>
  <si>
    <t>2021.3Q</t>
  </si>
  <si>
    <t>2021.2Q</t>
  </si>
  <si>
    <t>2021.1Q</t>
  </si>
  <si>
    <t>2020.4Q</t>
  </si>
  <si>
    <t>2020.3Q</t>
  </si>
  <si>
    <t>2020.2Q</t>
  </si>
  <si>
    <t>2020.1Q</t>
  </si>
  <si>
    <t>상장주식수</t>
  </si>
  <si>
    <t>4Q_income</t>
  </si>
  <si>
    <t>목표가</t>
  </si>
  <si>
    <t>2025.2Q</t>
  </si>
  <si>
    <t>2025.3Q</t>
    <phoneticPr fontId="18" type="noConversion"/>
  </si>
  <si>
    <t>2025.4Q</t>
    <phoneticPr fontId="18" type="noConversion"/>
  </si>
  <si>
    <t>2026.2Q</t>
    <phoneticPr fontId="18" type="noConversion"/>
  </si>
  <si>
    <t>2026.1Q</t>
    <phoneticPr fontId="18" type="noConversion"/>
  </si>
  <si>
    <t>2026.3Q</t>
    <phoneticPr fontId="18" type="noConversion"/>
  </si>
  <si>
    <t>2026.4Q</t>
    <phoneticPr fontId="18" type="noConversion"/>
  </si>
  <si>
    <t>2027.1Q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</si>
</sst>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#,##0_ "/>
  </numFmts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3" tint="0.499984740745262"/>
      <name val="맑은 고딕"/>
      <family val="2"/>
      <charset val="129"/>
      <scheme val="minor"/>
    </font>
    <font>
      <sz val="11"/>
      <name val="맑은 고딕"/>
      <family val="2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6">
    <xf numFmtId="0" fontId="0" fillId="0" borderId="0" xfId="0">
      <alignment vertical="center"/>
    </xf>
    <xf numFmtId="3" fontId="0" fillId="0" borderId="0" xfId="0" applyNumberFormat="1">
      <alignment vertical="center"/>
    </xf>
    <xf numFmtId="176" fontId="19" fillId="33" borderId="0" xfId="42" applyNumberFormat="1" applyFont="1" applyFill="1">
      <alignment vertical="center"/>
    </xf>
    <xf numFmtId="176" fontId="20" fillId="0" borderId="0" xfId="42" applyNumberFormat="1" applyFont="1">
      <alignment vertical="center"/>
    </xf>
    <xf numFmtId="176" fontId="14" fillId="34" borderId="0" xfId="42" applyNumberFormat="1" applyFont="1" applyFill="1">
      <alignment vertical="center"/>
    </xf>
    <xf numFmtId="176" fontId="19" fillId="34" borderId="0" xfId="42" applyNumberFormat="1" applyFont="1" applyFill="1">
      <alignment vertical="center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쉼표 [0]" xfId="42" builtinId="6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5F6A8-5540-41F3-90A1-95981879DC13}">
  <dimension ref="A1:F30"/>
  <sheetViews>
    <sheetView tabSelected="1" zoomScale="85" zoomScaleNormal="85" workbookViewId="0">
      <selection activeCell="H5" sqref="H5"/>
    </sheetView>
  </sheetViews>
  <sheetFormatPr defaultRowHeight="16.899999999999999" x14ac:dyDescent="0.6"/>
  <cols>
    <col min="2" max="2" width="11" bestFit="1" customWidth="1"/>
  </cols>
  <sheetData>
    <row r="1" spans="1:6" x14ac:dyDescent="0.6">
      <c r="A1" t="s">
        <v>0</v>
      </c>
      <c r="B1" t="s">
        <v>24</v>
      </c>
      <c r="C1" t="s">
        <v>1</v>
      </c>
      <c r="D1" t="s">
        <v>2</v>
      </c>
      <c r="E1" t="s">
        <v>25</v>
      </c>
      <c r="F1" t="s">
        <v>26</v>
      </c>
    </row>
    <row r="2" spans="1:6" x14ac:dyDescent="0.6">
      <c r="A2" t="s">
        <v>34</v>
      </c>
      <c r="B2" s="1">
        <v>19127353</v>
      </c>
      <c r="C2" s="2">
        <v>1218</v>
      </c>
      <c r="D2" s="4">
        <v>978</v>
      </c>
      <c r="E2" s="3">
        <f>(D2+D3)*2</f>
        <v>3608.6</v>
      </c>
      <c r="F2" s="3">
        <f>E2*100000000/B2*15</f>
        <v>282992.6336383294</v>
      </c>
    </row>
    <row r="3" spans="1:6" x14ac:dyDescent="0.6">
      <c r="A3" t="s">
        <v>33</v>
      </c>
      <c r="B3" s="1">
        <v>19127353</v>
      </c>
      <c r="C3" s="2">
        <v>1217</v>
      </c>
      <c r="D3" s="4">
        <v>826.3</v>
      </c>
      <c r="E3" s="3">
        <f>(D3+D2)*2</f>
        <v>3608.6</v>
      </c>
      <c r="F3" s="3">
        <f t="shared" ref="F3:F28" si="0">E3*100000000/B3*15</f>
        <v>282992.6336383294</v>
      </c>
    </row>
    <row r="4" spans="1:6" x14ac:dyDescent="0.6">
      <c r="A4" t="s">
        <v>32</v>
      </c>
      <c r="B4" s="1">
        <v>19127353</v>
      </c>
      <c r="C4" s="2">
        <v>1064</v>
      </c>
      <c r="D4" s="5">
        <v>676.3</v>
      </c>
      <c r="E4" s="3">
        <f>D4*1.5+D3*1.5+D2</f>
        <v>3231.8999999999996</v>
      </c>
      <c r="F4" s="3">
        <f t="shared" si="0"/>
        <v>253451.17016452824</v>
      </c>
    </row>
    <row r="5" spans="1:6" x14ac:dyDescent="0.6">
      <c r="A5" t="s">
        <v>30</v>
      </c>
      <c r="B5" s="1">
        <v>19127353</v>
      </c>
      <c r="C5" s="2">
        <v>1080.9000000000001</v>
      </c>
      <c r="D5" s="5">
        <v>482.5</v>
      </c>
      <c r="E5" s="3">
        <f t="shared" ref="E5:E28" si="1">D5*1.5+D4*1.5+D3</f>
        <v>2564.5</v>
      </c>
      <c r="F5" s="3">
        <f t="shared" si="0"/>
        <v>201112.51149074311</v>
      </c>
    </row>
    <row r="6" spans="1:6" x14ac:dyDescent="0.6">
      <c r="A6" t="s">
        <v>31</v>
      </c>
      <c r="B6" s="1">
        <v>19127353</v>
      </c>
      <c r="C6" s="3">
        <v>108</v>
      </c>
      <c r="D6" s="3">
        <v>1</v>
      </c>
      <c r="E6" s="3">
        <f t="shared" si="1"/>
        <v>1401.55</v>
      </c>
      <c r="F6" s="3">
        <f t="shared" si="0"/>
        <v>109911.96743218991</v>
      </c>
    </row>
    <row r="7" spans="1:6" x14ac:dyDescent="0.6">
      <c r="A7" t="s">
        <v>29</v>
      </c>
      <c r="B7" s="1">
        <v>19127353</v>
      </c>
      <c r="C7" s="3">
        <v>273</v>
      </c>
      <c r="D7" s="3">
        <v>253</v>
      </c>
      <c r="E7" s="3">
        <f t="shared" si="1"/>
        <v>863.5</v>
      </c>
      <c r="F7" s="3">
        <f t="shared" si="0"/>
        <v>67717.158772570358</v>
      </c>
    </row>
    <row r="8" spans="1:6" x14ac:dyDescent="0.6">
      <c r="A8" t="s">
        <v>28</v>
      </c>
      <c r="B8" s="1">
        <v>19127353</v>
      </c>
      <c r="C8" s="3">
        <v>-533.4</v>
      </c>
      <c r="D8" s="3">
        <v>-364.1</v>
      </c>
      <c r="E8" s="3">
        <f t="shared" si="1"/>
        <v>-165.65000000000009</v>
      </c>
      <c r="F8" s="3">
        <f t="shared" si="0"/>
        <v>-12990.558599509308</v>
      </c>
    </row>
    <row r="9" spans="1:6" x14ac:dyDescent="0.6">
      <c r="A9" t="s">
        <v>27</v>
      </c>
      <c r="B9" s="1">
        <v>19127353</v>
      </c>
      <c r="C9" s="3">
        <v>-803.4</v>
      </c>
      <c r="D9" s="3">
        <v>-766.2</v>
      </c>
      <c r="E9" s="3">
        <f t="shared" si="1"/>
        <v>-1442.4500000000003</v>
      </c>
      <c r="F9" s="3">
        <f t="shared" si="0"/>
        <v>-113119.41594845876</v>
      </c>
    </row>
    <row r="10" spans="1:6" x14ac:dyDescent="0.6">
      <c r="A10" t="s">
        <v>3</v>
      </c>
      <c r="B10" s="1">
        <v>19127353</v>
      </c>
      <c r="C10" s="3">
        <v>487</v>
      </c>
      <c r="D10" s="3">
        <v>-22</v>
      </c>
      <c r="E10" s="3">
        <f t="shared" si="1"/>
        <v>-1546.4</v>
      </c>
      <c r="F10" s="3">
        <f t="shared" si="0"/>
        <v>-121271.35417012485</v>
      </c>
    </row>
    <row r="11" spans="1:6" x14ac:dyDescent="0.6">
      <c r="A11" t="s">
        <v>4</v>
      </c>
      <c r="B11" s="1">
        <v>19127353</v>
      </c>
      <c r="C11" s="3">
        <v>-1078</v>
      </c>
      <c r="D11" s="3">
        <v>-726</v>
      </c>
      <c r="E11" s="3">
        <f t="shared" si="1"/>
        <v>-1888.2</v>
      </c>
      <c r="F11" s="3">
        <f t="shared" si="0"/>
        <v>-148075.89947234205</v>
      </c>
    </row>
    <row r="12" spans="1:6" x14ac:dyDescent="0.6">
      <c r="A12" t="s">
        <v>5</v>
      </c>
      <c r="B12" s="1">
        <v>19127353</v>
      </c>
      <c r="C12" s="3">
        <v>205</v>
      </c>
      <c r="D12" s="3">
        <v>-212</v>
      </c>
      <c r="E12" s="3">
        <f t="shared" si="1"/>
        <v>-1429</v>
      </c>
      <c r="F12" s="3">
        <f t="shared" si="0"/>
        <v>-112064.6437591234</v>
      </c>
    </row>
    <row r="13" spans="1:6" x14ac:dyDescent="0.6">
      <c r="A13" t="s">
        <v>6</v>
      </c>
      <c r="B13" s="1">
        <v>19127353</v>
      </c>
      <c r="C13" s="3">
        <v>896</v>
      </c>
      <c r="D13" s="3">
        <v>165</v>
      </c>
      <c r="E13" s="3">
        <f t="shared" si="1"/>
        <v>-796.5</v>
      </c>
      <c r="F13" s="3">
        <f t="shared" si="0"/>
        <v>-62462.90325692216</v>
      </c>
    </row>
    <row r="14" spans="1:6" x14ac:dyDescent="0.6">
      <c r="A14" t="s">
        <v>7</v>
      </c>
      <c r="B14" s="1">
        <v>19127353</v>
      </c>
      <c r="C14" s="3">
        <v>993</v>
      </c>
      <c r="D14" s="3">
        <v>1916</v>
      </c>
      <c r="E14" s="3">
        <f t="shared" si="1"/>
        <v>2909.5</v>
      </c>
      <c r="F14" s="3">
        <f t="shared" si="0"/>
        <v>228168.00631012561</v>
      </c>
    </row>
    <row r="15" spans="1:6" x14ac:dyDescent="0.6">
      <c r="A15" t="s">
        <v>8</v>
      </c>
      <c r="B15" s="1">
        <v>19127353</v>
      </c>
      <c r="C15" s="3">
        <v>651</v>
      </c>
      <c r="D15" s="3">
        <v>-67</v>
      </c>
      <c r="E15" s="3">
        <f t="shared" si="1"/>
        <v>2938.5</v>
      </c>
      <c r="F15" s="3">
        <f t="shared" si="0"/>
        <v>230442.236309436</v>
      </c>
    </row>
    <row r="16" spans="1:6" x14ac:dyDescent="0.6">
      <c r="A16" t="s">
        <v>9</v>
      </c>
      <c r="B16" s="1">
        <v>19127353</v>
      </c>
      <c r="C16" s="3">
        <v>1308</v>
      </c>
      <c r="D16" s="3">
        <v>1144</v>
      </c>
      <c r="E16" s="3">
        <f t="shared" si="1"/>
        <v>3531.5</v>
      </c>
      <c r="F16" s="3">
        <f t="shared" si="0"/>
        <v>276946.31870912825</v>
      </c>
    </row>
    <row r="17" spans="1:6" x14ac:dyDescent="0.6">
      <c r="A17" t="s">
        <v>10</v>
      </c>
      <c r="B17" s="1">
        <v>19127353</v>
      </c>
      <c r="C17" s="3">
        <v>1319</v>
      </c>
      <c r="D17" s="3">
        <v>3894</v>
      </c>
      <c r="E17" s="3">
        <f t="shared" si="1"/>
        <v>7490</v>
      </c>
      <c r="F17" s="3">
        <f t="shared" si="0"/>
        <v>587378.71361499943</v>
      </c>
    </row>
    <row r="18" spans="1:6" x14ac:dyDescent="0.6">
      <c r="A18" t="s">
        <v>11</v>
      </c>
      <c r="B18" s="1">
        <v>19127353</v>
      </c>
      <c r="C18" s="3">
        <v>2034</v>
      </c>
      <c r="D18" s="3">
        <v>2132</v>
      </c>
      <c r="E18" s="3">
        <f t="shared" si="1"/>
        <v>10183</v>
      </c>
      <c r="F18" s="3">
        <f t="shared" si="0"/>
        <v>798568.416654411</v>
      </c>
    </row>
    <row r="19" spans="1:6" x14ac:dyDescent="0.6">
      <c r="A19" t="s">
        <v>12</v>
      </c>
      <c r="B19" s="1">
        <v>19127353</v>
      </c>
      <c r="C19" s="3">
        <v>1203</v>
      </c>
      <c r="D19" s="3">
        <v>3587</v>
      </c>
      <c r="E19" s="3">
        <f t="shared" si="1"/>
        <v>12472.5</v>
      </c>
      <c r="F19" s="3">
        <f t="shared" si="0"/>
        <v>978114.95401376241</v>
      </c>
    </row>
    <row r="20" spans="1:6" x14ac:dyDescent="0.6">
      <c r="A20" t="s">
        <v>13</v>
      </c>
      <c r="B20" s="1">
        <v>19127353</v>
      </c>
      <c r="C20" s="3">
        <v>2891</v>
      </c>
      <c r="D20" s="3">
        <v>2373</v>
      </c>
      <c r="E20" s="3">
        <f t="shared" si="1"/>
        <v>11072</v>
      </c>
      <c r="F20" s="3">
        <f t="shared" si="0"/>
        <v>868285.3293918923</v>
      </c>
    </row>
    <row r="21" spans="1:6" x14ac:dyDescent="0.6">
      <c r="A21" t="s">
        <v>14</v>
      </c>
      <c r="B21" s="1">
        <v>19127353</v>
      </c>
      <c r="C21" s="3">
        <v>1810</v>
      </c>
      <c r="D21" s="3">
        <v>1476</v>
      </c>
      <c r="E21" s="3">
        <f t="shared" si="1"/>
        <v>9360.5</v>
      </c>
      <c r="F21" s="3">
        <f t="shared" si="0"/>
        <v>734066.54857052094</v>
      </c>
    </row>
    <row r="22" spans="1:6" x14ac:dyDescent="0.6">
      <c r="A22" t="s">
        <v>15</v>
      </c>
      <c r="B22" s="1">
        <v>19127353</v>
      </c>
      <c r="C22" s="3">
        <v>1620</v>
      </c>
      <c r="D22" s="3">
        <v>1342</v>
      </c>
      <c r="E22" s="3">
        <f t="shared" si="1"/>
        <v>6600</v>
      </c>
      <c r="F22" s="3">
        <f t="shared" si="0"/>
        <v>517583.37915340404</v>
      </c>
    </row>
    <row r="23" spans="1:6" x14ac:dyDescent="0.6">
      <c r="A23" t="s">
        <v>16</v>
      </c>
      <c r="B23" s="1">
        <v>19127353</v>
      </c>
      <c r="C23" s="3">
        <v>2180</v>
      </c>
      <c r="D23" s="3">
        <v>2894</v>
      </c>
      <c r="E23" s="3">
        <f t="shared" si="1"/>
        <v>7830</v>
      </c>
      <c r="F23" s="3">
        <f t="shared" si="0"/>
        <v>614042.09981381113</v>
      </c>
    </row>
    <row r="24" spans="1:6" x14ac:dyDescent="0.6">
      <c r="A24" t="s">
        <v>17</v>
      </c>
      <c r="B24" s="1">
        <v>19127353</v>
      </c>
      <c r="C24" s="3">
        <v>1946</v>
      </c>
      <c r="D24" s="3">
        <v>1776</v>
      </c>
      <c r="E24" s="3">
        <f t="shared" si="1"/>
        <v>8347</v>
      </c>
      <c r="F24" s="3">
        <f t="shared" si="0"/>
        <v>654586.13118082774</v>
      </c>
    </row>
    <row r="25" spans="1:6" x14ac:dyDescent="0.6">
      <c r="A25" t="s">
        <v>18</v>
      </c>
      <c r="B25" s="1">
        <v>19127353</v>
      </c>
      <c r="C25" s="3">
        <v>1663</v>
      </c>
      <c r="D25" s="3">
        <v>1453</v>
      </c>
      <c r="E25" s="3">
        <f t="shared" si="1"/>
        <v>7737.5</v>
      </c>
      <c r="F25" s="3">
        <f t="shared" si="0"/>
        <v>606788.09033325198</v>
      </c>
    </row>
    <row r="26" spans="1:6" x14ac:dyDescent="0.6">
      <c r="A26" t="s">
        <v>19</v>
      </c>
      <c r="B26" s="1">
        <v>19127353</v>
      </c>
      <c r="C26" s="3">
        <v>470</v>
      </c>
      <c r="D26" s="3">
        <v>398</v>
      </c>
      <c r="E26" s="3">
        <f t="shared" si="1"/>
        <v>4552.5</v>
      </c>
      <c r="F26" s="3">
        <f t="shared" si="0"/>
        <v>357014.8990296775</v>
      </c>
    </row>
    <row r="27" spans="1:6" x14ac:dyDescent="0.6">
      <c r="A27" t="s">
        <v>20</v>
      </c>
      <c r="B27" s="1">
        <v>19127353</v>
      </c>
      <c r="C27" s="3">
        <v>330</v>
      </c>
      <c r="D27" s="3">
        <v>-1611</v>
      </c>
      <c r="E27" s="3">
        <f t="shared" si="1"/>
        <v>-366.5</v>
      </c>
      <c r="F27" s="3">
        <f t="shared" si="0"/>
        <v>-28741.561887836753</v>
      </c>
    </row>
    <row r="28" spans="1:6" x14ac:dyDescent="0.6">
      <c r="A28" t="s">
        <v>21</v>
      </c>
      <c r="B28" s="1">
        <v>19127353</v>
      </c>
      <c r="C28" s="3">
        <v>181</v>
      </c>
      <c r="D28" s="3">
        <v>61</v>
      </c>
      <c r="E28" s="3">
        <f t="shared" si="1"/>
        <v>-1927</v>
      </c>
      <c r="F28" s="3">
        <f t="shared" si="0"/>
        <v>-151118.66236797115</v>
      </c>
    </row>
    <row r="29" spans="1:6" x14ac:dyDescent="0.6">
      <c r="A29" t="s">
        <v>22</v>
      </c>
      <c r="B29" s="1">
        <v>19127353</v>
      </c>
      <c r="C29" s="3">
        <v>-443</v>
      </c>
      <c r="D29" s="3">
        <v>-382</v>
      </c>
      <c r="E29" s="3"/>
      <c r="F29" s="3"/>
    </row>
    <row r="30" spans="1:6" x14ac:dyDescent="0.6">
      <c r="A30" t="s">
        <v>23</v>
      </c>
      <c r="B30" s="1">
        <v>19127353</v>
      </c>
      <c r="C30" s="3">
        <v>-929</v>
      </c>
      <c r="D30" s="3">
        <v>-579</v>
      </c>
      <c r="E30" s="3"/>
      <c r="F30" s="3"/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OCI홀딩스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김해중</cp:lastModifiedBy>
  <dcterms:created xsi:type="dcterms:W3CDTF">2025-02-02T03:12:20Z</dcterms:created>
  <dcterms:modified xsi:type="dcterms:W3CDTF">2026-09-20T23:12:07Z</dcterms:modified>
</cp:coreProperties>
</file>