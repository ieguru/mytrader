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0. JupyterNotebook\Finance\file\"/>
    </mc:Choice>
  </mc:AlternateContent>
  <xr:revisionPtr revIDLastSave="0" documentId="13_ncr:1_{97D0A632-ECD7-47FB-B2D8-1EF4B1CF3BF2}" xr6:coauthVersionLast="47" xr6:coauthVersionMax="47" xr10:uidLastSave="{00000000-0000-0000-0000-000000000000}"/>
  <bookViews>
    <workbookView xWindow="-98" yWindow="-98" windowWidth="28996" windowHeight="15675" xr2:uid="{C05637EF-894A-4FAC-9F47-0179780C4CC4}"/>
  </bookViews>
  <sheets>
    <sheet name="테크윙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3" i="1"/>
  <c r="E2" i="1"/>
</calcChain>
</file>

<file path=xl/sharedStrings.xml><?xml version="1.0" encoding="utf-8"?>
<sst xmlns="http://schemas.openxmlformats.org/spreadsheetml/2006/main" count="33" uniqueCount="33">
  <si>
    <t>분기</t>
  </si>
  <si>
    <t>영업이익</t>
  </si>
  <si>
    <t>순이익</t>
  </si>
  <si>
    <t>2025.1Q</t>
  </si>
  <si>
    <t>2024.4Q</t>
  </si>
  <si>
    <t>2024.3Q</t>
  </si>
  <si>
    <t>2024.2Q</t>
  </si>
  <si>
    <t>2024.1Q</t>
  </si>
  <si>
    <t>2023.4Q</t>
  </si>
  <si>
    <t>2023.3Q</t>
  </si>
  <si>
    <t>2023.2Q</t>
  </si>
  <si>
    <t>2023.1Q</t>
  </si>
  <si>
    <t>2022.4Q</t>
  </si>
  <si>
    <t>2022.3Q</t>
  </si>
  <si>
    <t>2022.2Q</t>
  </si>
  <si>
    <t>2022.1Q</t>
  </si>
  <si>
    <t>2021.4Q</t>
  </si>
  <si>
    <t>2021.3Q</t>
  </si>
  <si>
    <t>2021.2Q</t>
  </si>
  <si>
    <t>2021.1Q</t>
  </si>
  <si>
    <t>2020.4Q</t>
  </si>
  <si>
    <t>2020.3Q</t>
  </si>
  <si>
    <t>2020.2Q</t>
  </si>
  <si>
    <t>상장주식수</t>
  </si>
  <si>
    <t>2025.2Q</t>
    <phoneticPr fontId="18" type="noConversion"/>
  </si>
  <si>
    <t>4Q_income</t>
  </si>
  <si>
    <t>목표가</t>
  </si>
  <si>
    <t>2025.4Q</t>
    <phoneticPr fontId="18" type="noConversion"/>
  </si>
  <si>
    <t>2025.3Q</t>
    <phoneticPr fontId="18" type="noConversion"/>
  </si>
  <si>
    <t>2026.1Q</t>
    <phoneticPr fontId="18" type="noConversion"/>
  </si>
  <si>
    <t>2026.2Q</t>
    <phoneticPr fontId="18" type="noConversion"/>
  </si>
  <si>
    <t>2026.3Q</t>
    <phoneticPr fontId="18" type="noConversion"/>
  </si>
  <si>
    <t>2026.4Q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</si>
</sst>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#,##0_ "/>
  </numFmts>
  <fonts count="2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sz val="11"/>
      <color rgb="FF0000FF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9">
    <xf numFmtId="0" fontId="0" fillId="0" borderId="0" xfId="0">
      <alignment vertical="center"/>
    </xf>
    <xf numFmtId="3" fontId="0" fillId="0" borderId="0" xfId="0" applyNumberFormat="1">
      <alignment vertical="center"/>
    </xf>
    <xf numFmtId="176" fontId="14" fillId="0" borderId="0" xfId="42" applyNumberFormat="1" applyFont="1">
      <alignment vertical="center"/>
    </xf>
    <xf numFmtId="176" fontId="0" fillId="0" borderId="0" xfId="42" applyNumberFormat="1" applyFont="1">
      <alignment vertical="center"/>
    </xf>
    <xf numFmtId="176" fontId="14" fillId="0" borderId="0" xfId="42" applyNumberFormat="1" applyFont="1" applyFill="1">
      <alignment vertical="center"/>
    </xf>
    <xf numFmtId="176" fontId="0" fillId="0" borderId="0" xfId="42" applyNumberFormat="1" applyFont="1" applyFill="1">
      <alignment vertical="center"/>
    </xf>
    <xf numFmtId="176" fontId="19" fillId="0" borderId="0" xfId="42" applyNumberFormat="1" applyFont="1" applyFill="1">
      <alignment vertical="center"/>
    </xf>
    <xf numFmtId="176" fontId="20" fillId="0" borderId="0" xfId="42" applyNumberFormat="1" applyFont="1">
      <alignment vertical="center"/>
    </xf>
    <xf numFmtId="176" fontId="20" fillId="0" borderId="0" xfId="42" applyNumberFormat="1" applyFont="1" applyFill="1">
      <alignment vertical="center"/>
    </xf>
  </cellXfs>
  <cellStyles count="43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쉼표 [0]" xfId="42" builtinId="6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7CA7B-35C4-494A-A46D-5A1400A4E47E}">
  <dimension ref="A1:F29"/>
  <sheetViews>
    <sheetView tabSelected="1" workbookViewId="0">
      <selection activeCell="F2" sqref="F2:F27"/>
    </sheetView>
  </sheetViews>
  <sheetFormatPr defaultRowHeight="16.899999999999999"/>
  <cols>
    <col min="2" max="2" width="10.25" bestFit="1" customWidth="1"/>
  </cols>
  <sheetData>
    <row r="1" spans="1:6">
      <c r="A1" t="s">
        <v>0</v>
      </c>
      <c r="B1" t="s">
        <v>23</v>
      </c>
      <c r="C1" t="s">
        <v>1</v>
      </c>
      <c r="D1" t="s">
        <v>2</v>
      </c>
      <c r="E1" t="s">
        <v>25</v>
      </c>
      <c r="F1" t="s">
        <v>26</v>
      </c>
    </row>
    <row r="2" spans="1:6">
      <c r="A2" t="s">
        <v>32</v>
      </c>
      <c r="B2" s="1">
        <v>37353645</v>
      </c>
      <c r="C2" s="7">
        <v>285</v>
      </c>
      <c r="D2" s="2">
        <v>200</v>
      </c>
      <c r="E2" s="3">
        <f>(D2*3+D3)</f>
        <v>800</v>
      </c>
      <c r="F2" s="3">
        <f>MAX(E2*100000000/B2*35, 0)</f>
        <v>74959.217500728511</v>
      </c>
    </row>
    <row r="3" spans="1:6">
      <c r="A3" t="s">
        <v>31</v>
      </c>
      <c r="B3" s="1">
        <v>37353645</v>
      </c>
      <c r="C3" s="7">
        <v>285</v>
      </c>
      <c r="D3" s="2">
        <v>200</v>
      </c>
      <c r="E3" s="3">
        <f>(D3*2+D2+D4)</f>
        <v>700</v>
      </c>
      <c r="F3" s="3">
        <f t="shared" ref="F3:F27" si="0">MAX(E3*100000000/B3*35, 0)</f>
        <v>65589.315313137442</v>
      </c>
    </row>
    <row r="4" spans="1:6">
      <c r="A4" t="s">
        <v>30</v>
      </c>
      <c r="B4" s="1">
        <v>37353645</v>
      </c>
      <c r="C4" s="8">
        <v>133</v>
      </c>
      <c r="D4" s="4">
        <v>100</v>
      </c>
      <c r="E4" s="3">
        <f t="shared" ref="E4:E27" si="1">(D4*2+D3+D5)</f>
        <v>530</v>
      </c>
      <c r="F4" s="3">
        <f t="shared" si="0"/>
        <v>49660.481594232639</v>
      </c>
    </row>
    <row r="5" spans="1:6">
      <c r="A5" t="s">
        <v>29</v>
      </c>
      <c r="B5" s="1">
        <v>37353645</v>
      </c>
      <c r="C5" s="4">
        <v>97</v>
      </c>
      <c r="D5" s="6">
        <v>130</v>
      </c>
      <c r="E5" s="3">
        <f t="shared" si="1"/>
        <v>315</v>
      </c>
      <c r="F5" s="3">
        <f t="shared" si="0"/>
        <v>29515.19189091185</v>
      </c>
    </row>
    <row r="6" spans="1:6">
      <c r="A6" t="s">
        <v>27</v>
      </c>
      <c r="B6" s="1">
        <v>37353645</v>
      </c>
      <c r="C6" s="6">
        <v>5.8</v>
      </c>
      <c r="D6" s="6">
        <v>-45</v>
      </c>
      <c r="E6" s="3">
        <f t="shared" si="1"/>
        <v>-21</v>
      </c>
      <c r="F6" s="3">
        <f t="shared" si="0"/>
        <v>0</v>
      </c>
    </row>
    <row r="7" spans="1:6">
      <c r="A7" t="s">
        <v>28</v>
      </c>
      <c r="B7" s="1">
        <v>37353645</v>
      </c>
      <c r="C7" s="6">
        <v>71.099999999999994</v>
      </c>
      <c r="D7" s="6">
        <v>-61</v>
      </c>
      <c r="E7" s="3">
        <f t="shared" si="1"/>
        <v>50</v>
      </c>
      <c r="F7" s="3">
        <f t="shared" si="0"/>
        <v>4684.951093795532</v>
      </c>
    </row>
    <row r="8" spans="1:6">
      <c r="A8" t="s">
        <v>24</v>
      </c>
      <c r="B8" s="1">
        <v>37353645</v>
      </c>
      <c r="C8" s="6">
        <v>64</v>
      </c>
      <c r="D8" s="6">
        <v>217</v>
      </c>
      <c r="E8" s="3">
        <f t="shared" si="1"/>
        <v>357</v>
      </c>
      <c r="F8" s="3">
        <f t="shared" si="0"/>
        <v>33450.550809700093</v>
      </c>
    </row>
    <row r="9" spans="1:6">
      <c r="A9" t="s">
        <v>3</v>
      </c>
      <c r="B9" s="1">
        <v>37353645</v>
      </c>
      <c r="C9" s="6">
        <v>18</v>
      </c>
      <c r="D9" s="6">
        <v>-16</v>
      </c>
      <c r="E9" s="3">
        <f t="shared" si="1"/>
        <v>-79</v>
      </c>
      <c r="F9" s="3">
        <f t="shared" si="0"/>
        <v>0</v>
      </c>
    </row>
    <row r="10" spans="1:6">
      <c r="A10" t="s">
        <v>4</v>
      </c>
      <c r="B10" s="1">
        <v>37353645</v>
      </c>
      <c r="C10" s="5">
        <v>45</v>
      </c>
      <c r="D10" s="5">
        <v>-264</v>
      </c>
      <c r="E10" s="3">
        <f t="shared" si="1"/>
        <v>-403</v>
      </c>
      <c r="F10" s="3">
        <f t="shared" si="0"/>
        <v>0</v>
      </c>
    </row>
    <row r="11" spans="1:6">
      <c r="A11" t="s">
        <v>5</v>
      </c>
      <c r="B11" s="1">
        <v>37353645</v>
      </c>
      <c r="C11" s="5">
        <v>62</v>
      </c>
      <c r="D11" s="5">
        <v>141</v>
      </c>
      <c r="E11" s="3">
        <f t="shared" si="1"/>
        <v>4</v>
      </c>
      <c r="F11" s="3">
        <f t="shared" si="0"/>
        <v>374.79608750364258</v>
      </c>
    </row>
    <row r="12" spans="1:6">
      <c r="A12" t="s">
        <v>6</v>
      </c>
      <c r="B12" s="1">
        <v>37353645</v>
      </c>
      <c r="C12" s="5">
        <v>72</v>
      </c>
      <c r="D12" s="5">
        <v>-14</v>
      </c>
      <c r="E12" s="3">
        <f t="shared" si="1"/>
        <v>31</v>
      </c>
      <c r="F12" s="3">
        <f t="shared" si="0"/>
        <v>2904.6696781532296</v>
      </c>
    </row>
    <row r="13" spans="1:6">
      <c r="A13" t="s">
        <v>7</v>
      </c>
      <c r="B13" s="1">
        <v>37353645</v>
      </c>
      <c r="C13" s="5">
        <v>56</v>
      </c>
      <c r="D13" s="5">
        <v>-82</v>
      </c>
      <c r="E13" s="3">
        <f t="shared" si="1"/>
        <v>-91</v>
      </c>
      <c r="F13" s="3">
        <f t="shared" si="0"/>
        <v>0</v>
      </c>
    </row>
    <row r="14" spans="1:6">
      <c r="A14" t="s">
        <v>8</v>
      </c>
      <c r="B14" s="1">
        <v>37353645</v>
      </c>
      <c r="C14" s="5">
        <v>30</v>
      </c>
      <c r="D14" s="5">
        <v>87</v>
      </c>
      <c r="E14" s="3">
        <f t="shared" si="1"/>
        <v>-24</v>
      </c>
      <c r="F14" s="3">
        <f t="shared" si="0"/>
        <v>0</v>
      </c>
    </row>
    <row r="15" spans="1:6">
      <c r="A15" t="s">
        <v>9</v>
      </c>
      <c r="B15" s="1">
        <v>37353645</v>
      </c>
      <c r="C15" s="5">
        <v>-27</v>
      </c>
      <c r="D15" s="5">
        <v>-116</v>
      </c>
      <c r="E15" s="3">
        <f t="shared" si="1"/>
        <v>-155</v>
      </c>
      <c r="F15" s="3">
        <f t="shared" si="0"/>
        <v>0</v>
      </c>
    </row>
    <row r="16" spans="1:6">
      <c r="A16" t="s">
        <v>10</v>
      </c>
      <c r="B16" s="1">
        <v>37353645</v>
      </c>
      <c r="C16" s="5">
        <v>24</v>
      </c>
      <c r="D16" s="5">
        <v>-10</v>
      </c>
      <c r="E16" s="3">
        <f t="shared" si="1"/>
        <v>-208</v>
      </c>
      <c r="F16" s="3">
        <f t="shared" si="0"/>
        <v>0</v>
      </c>
    </row>
    <row r="17" spans="1:6">
      <c r="A17" t="s">
        <v>11</v>
      </c>
      <c r="B17" s="1">
        <v>37353645</v>
      </c>
      <c r="C17" s="5">
        <v>4</v>
      </c>
      <c r="D17" s="5">
        <v>-72</v>
      </c>
      <c r="E17" s="3">
        <f t="shared" si="1"/>
        <v>54</v>
      </c>
      <c r="F17" s="3">
        <f t="shared" si="0"/>
        <v>5059.7471812991753</v>
      </c>
    </row>
    <row r="18" spans="1:6">
      <c r="A18" t="s">
        <v>12</v>
      </c>
      <c r="B18" s="1">
        <v>37353645</v>
      </c>
      <c r="C18" s="5">
        <v>71</v>
      </c>
      <c r="D18" s="5">
        <v>208</v>
      </c>
      <c r="E18" s="3">
        <f t="shared" si="1"/>
        <v>284</v>
      </c>
      <c r="F18" s="3">
        <f t="shared" si="0"/>
        <v>26610.522212758624</v>
      </c>
    </row>
    <row r="19" spans="1:6">
      <c r="A19" t="s">
        <v>13</v>
      </c>
      <c r="B19" s="1">
        <v>37353645</v>
      </c>
      <c r="C19" s="5">
        <v>140</v>
      </c>
      <c r="D19" s="5">
        <v>-60</v>
      </c>
      <c r="E19" s="3">
        <f t="shared" si="1"/>
        <v>175</v>
      </c>
      <c r="F19" s="3">
        <f t="shared" si="0"/>
        <v>16397.32882828436</v>
      </c>
    </row>
    <row r="20" spans="1:6">
      <c r="A20" t="s">
        <v>14</v>
      </c>
      <c r="B20" s="1">
        <v>37353645</v>
      </c>
      <c r="C20" s="5">
        <v>224</v>
      </c>
      <c r="D20" s="5">
        <v>87</v>
      </c>
      <c r="E20" s="3">
        <f t="shared" si="1"/>
        <v>211</v>
      </c>
      <c r="F20" s="3">
        <f t="shared" si="0"/>
        <v>19770.493615817148</v>
      </c>
    </row>
    <row r="21" spans="1:6">
      <c r="A21" t="s">
        <v>15</v>
      </c>
      <c r="B21" s="1">
        <v>37353645</v>
      </c>
      <c r="C21" s="5">
        <v>142</v>
      </c>
      <c r="D21" s="5">
        <v>97</v>
      </c>
      <c r="E21" s="3">
        <f t="shared" si="1"/>
        <v>330</v>
      </c>
      <c r="F21" s="3">
        <f t="shared" si="0"/>
        <v>30920.677219050507</v>
      </c>
    </row>
    <row r="22" spans="1:6">
      <c r="A22" t="s">
        <v>16</v>
      </c>
      <c r="B22" s="1">
        <v>37353645</v>
      </c>
      <c r="C22" s="5">
        <v>78</v>
      </c>
      <c r="D22" s="5">
        <v>49</v>
      </c>
      <c r="E22" s="3">
        <f t="shared" si="1"/>
        <v>213</v>
      </c>
      <c r="F22" s="3">
        <f t="shared" si="0"/>
        <v>19957.891659568966</v>
      </c>
    </row>
    <row r="23" spans="1:6">
      <c r="A23" t="s">
        <v>17</v>
      </c>
      <c r="B23" s="1">
        <v>37353645</v>
      </c>
      <c r="C23" s="5">
        <v>107</v>
      </c>
      <c r="D23" s="5">
        <v>18</v>
      </c>
      <c r="E23" s="3">
        <f t="shared" si="1"/>
        <v>215</v>
      </c>
      <c r="F23" s="3">
        <f t="shared" si="0"/>
        <v>20145.289703320788</v>
      </c>
    </row>
    <row r="24" spans="1:6">
      <c r="A24" t="s">
        <v>18</v>
      </c>
      <c r="B24" s="1">
        <v>37353645</v>
      </c>
      <c r="C24" s="5">
        <v>158</v>
      </c>
      <c r="D24" s="5">
        <v>130</v>
      </c>
      <c r="E24" s="3">
        <f t="shared" si="1"/>
        <v>253</v>
      </c>
      <c r="F24" s="3">
        <f t="shared" si="0"/>
        <v>23705.85253460539</v>
      </c>
    </row>
    <row r="25" spans="1:6">
      <c r="A25" t="s">
        <v>19</v>
      </c>
      <c r="B25" s="1">
        <v>37353645</v>
      </c>
      <c r="C25" s="5">
        <v>20</v>
      </c>
      <c r="D25" s="5">
        <v>-25</v>
      </c>
      <c r="E25" s="3">
        <f t="shared" si="1"/>
        <v>164</v>
      </c>
      <c r="F25" s="3">
        <f t="shared" si="0"/>
        <v>15366.639587649344</v>
      </c>
    </row>
    <row r="26" spans="1:6">
      <c r="A26" t="s">
        <v>20</v>
      </c>
      <c r="B26" s="1">
        <v>37353645</v>
      </c>
      <c r="C26" s="5">
        <v>31</v>
      </c>
      <c r="D26" s="5">
        <v>84</v>
      </c>
      <c r="E26" s="3">
        <f t="shared" si="1"/>
        <v>264</v>
      </c>
      <c r="F26" s="3">
        <f t="shared" si="0"/>
        <v>24736.54177524041</v>
      </c>
    </row>
    <row r="27" spans="1:6">
      <c r="A27" t="s">
        <v>21</v>
      </c>
      <c r="B27" s="1">
        <v>37353645</v>
      </c>
      <c r="C27" s="5">
        <v>129</v>
      </c>
      <c r="D27" s="5">
        <v>121</v>
      </c>
      <c r="E27" s="3">
        <f t="shared" si="1"/>
        <v>430</v>
      </c>
      <c r="F27" s="3">
        <f t="shared" si="0"/>
        <v>40290.579406641576</v>
      </c>
    </row>
    <row r="28" spans="1:6">
      <c r="A28" t="s">
        <v>22</v>
      </c>
      <c r="B28" s="1">
        <v>37353645</v>
      </c>
      <c r="C28" s="5">
        <v>122</v>
      </c>
      <c r="D28" s="5">
        <v>104</v>
      </c>
      <c r="E28" s="5"/>
      <c r="F28" s="5"/>
    </row>
    <row r="29" spans="1:6">
      <c r="B29" s="1"/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테크윙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김해중</cp:lastModifiedBy>
  <dcterms:created xsi:type="dcterms:W3CDTF">2025-01-28T11:03:29Z</dcterms:created>
  <dcterms:modified xsi:type="dcterms:W3CDTF">2026-10-10T16:20:27Z</dcterms:modified>
</cp:coreProperties>
</file>