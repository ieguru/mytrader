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내 드라이브\Colab Notebooks\FIN\"/>
    </mc:Choice>
  </mc:AlternateContent>
  <xr:revisionPtr revIDLastSave="0" documentId="13_ncr:1_{C300A357-C3D5-4193-ACBA-8F4AD5D308DE}" xr6:coauthVersionLast="47" xr6:coauthVersionMax="47" xr10:uidLastSave="{00000000-0000-0000-0000-000000000000}"/>
  <bookViews>
    <workbookView xWindow="29888" yWindow="2550" windowWidth="19200" windowHeight="11018" xr2:uid="{DA083A8F-9A99-4A58-981A-1E6F0C42539A}"/>
  </bookViews>
  <sheets>
    <sheet name="에스티아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2" i="1"/>
  <c r="F2" i="1" s="1"/>
  <c r="F11" i="1"/>
  <c r="F18" i="1"/>
  <c r="F19" i="1"/>
  <c r="F20" i="1"/>
  <c r="F21" i="1"/>
  <c r="F22" i="1"/>
  <c r="F23" i="1"/>
  <c r="F24" i="1"/>
  <c r="F25" i="1"/>
  <c r="E6" i="1"/>
  <c r="F6" i="1" s="1"/>
  <c r="E7" i="1"/>
  <c r="F7" i="1" s="1"/>
  <c r="E8" i="1"/>
  <c r="F8" i="1" s="1"/>
  <c r="E9" i="1"/>
  <c r="F9" i="1" s="1"/>
  <c r="E10" i="1"/>
  <c r="F10" i="1" s="1"/>
  <c r="E11" i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E19" i="1"/>
  <c r="E20" i="1"/>
  <c r="E21" i="1"/>
  <c r="E22" i="1"/>
  <c r="E23" i="1"/>
  <c r="E24" i="1"/>
  <c r="E25" i="1"/>
  <c r="E26" i="1"/>
  <c r="E5" i="1"/>
  <c r="F5" i="1" s="1"/>
  <c r="E4" i="1"/>
  <c r="F4" i="1" s="1"/>
</calcChain>
</file>

<file path=xl/sharedStrings.xml><?xml version="1.0" encoding="utf-8"?>
<sst xmlns="http://schemas.openxmlformats.org/spreadsheetml/2006/main" count="32" uniqueCount="32">
  <si>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</si>
  <si>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</si>
  <si>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</si>
  <si>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</si>
  <si>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</si>
  <si>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</si>
  <si>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</si>
  <si>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</si>
  <si>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</si>
  <si>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</si>
  <si>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</si>
  <si>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</si>
  <si>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</si>
  <si>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</si>
  <si>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</si>
  <si>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</si>
  <si>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</si>
  <si>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</si>
  <si>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</si>
  <si>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</si>
  <si>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</si>
  <si>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</si>
  <si>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</si>
  <si>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</si>
  <si>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4Q_income</t>
  </si>
  <si>
    <t>목표가</t>
  </si>
  <si>
    <t>2025.2Q</t>
    <phoneticPr fontId="18" type="noConversion"/>
  </si>
  <si>
    <t>상장주식수</t>
    <phoneticPr fontId="18" type="noConversion"/>
  </si>
  <si>
    <t>2025.4Q</t>
    <phoneticPr fontId="18" type="noConversion"/>
  </si>
  <si>
    <t>2025.3Q</t>
  </si>
  <si>
    <t>2026.1Q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</si>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</sst>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  <xf numFmtId="41" fontId="19" fillId="33" borderId="0" xfId="42" applyFont="1" applyFill="1">
      <alignment vertical="center"/>
    </xf>
    <xf numFmtId="41" fontId="19" fillId="34" borderId="0" xfId="42" applyFont="1" applyFill="1">
      <alignment vertical="center"/>
    </xf>
    <xf numFmtId="41" fontId="1" fillId="0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3F96-E442-49CF-87B1-FD3BC695C87A}">
  <dimension ref="A1:F27"/>
  <sheetViews>
    <sheetView tabSelected="1" workbookViewId="0">
      <selection activeCell="F4" sqref="F4"/>
    </sheetView>
  </sheetViews>
  <sheetFormatPr defaultRowHeight="16.899999999999999" x14ac:dyDescent="0.6"/>
  <cols>
    <col min="2" max="2" width="10.25" bestFit="1" customWidth="1"/>
  </cols>
  <sheetData>
    <row r="1" spans="1:6" x14ac:dyDescent="0.6">
      <c r="A1" t="s">
        <v>0</v>
      </c>
      <c r="B1" t="s">
        <v>27</v>
      </c>
      <c r="C1" t="s">
        <v>1</v>
      </c>
      <c r="D1" t="s">
        <v>2</v>
      </c>
      <c r="E1" t="s">
        <v>24</v>
      </c>
      <c r="F1" t="s">
        <v>25</v>
      </c>
    </row>
    <row r="2" spans="1:6" x14ac:dyDescent="0.6">
      <c r="A2" t="s">
        <v>31</v>
      </c>
      <c r="B2" s="2">
        <v>15830000</v>
      </c>
      <c r="C2" s="4">
        <v>236</v>
      </c>
      <c r="D2" s="4">
        <v>201</v>
      </c>
      <c r="E2" s="3">
        <f>(C2*2+C3*2)</f>
        <v>826</v>
      </c>
      <c r="F2" s="3">
        <f t="shared" ref="F2" si="0">E2*100000000/B2*10</f>
        <v>52179.406190777008</v>
      </c>
    </row>
    <row r="3" spans="1:6" x14ac:dyDescent="0.6">
      <c r="A3" t="s">
        <v>30</v>
      </c>
      <c r="B3" s="2">
        <v>15830000</v>
      </c>
      <c r="C3" s="4">
        <v>177</v>
      </c>
      <c r="D3" s="4">
        <v>156</v>
      </c>
      <c r="E3" s="3">
        <f>(C2*2+C3*2)</f>
        <v>826</v>
      </c>
      <c r="F3" s="3">
        <f t="shared" ref="F3:F25" si="1">E3*100000000/B3*10</f>
        <v>52179.406190777008</v>
      </c>
    </row>
    <row r="4" spans="1:6" x14ac:dyDescent="0.6">
      <c r="A4" t="s">
        <v>28</v>
      </c>
      <c r="B4" s="2">
        <v>15830000</v>
      </c>
      <c r="C4" s="5">
        <v>129</v>
      </c>
      <c r="D4" s="5">
        <v>124</v>
      </c>
      <c r="E4" s="3">
        <f>(C3*2+C4*2)</f>
        <v>612</v>
      </c>
      <c r="F4" s="3">
        <f t="shared" si="1"/>
        <v>38660.770688566015</v>
      </c>
    </row>
    <row r="5" spans="1:6" x14ac:dyDescent="0.6">
      <c r="A5" t="s">
        <v>29</v>
      </c>
      <c r="B5" s="2">
        <v>15830000</v>
      </c>
      <c r="C5" s="6">
        <v>22.8</v>
      </c>
      <c r="D5" s="6">
        <v>25</v>
      </c>
      <c r="E5" s="3">
        <f>(C3+C4+C5*2)</f>
        <v>351.6</v>
      </c>
      <c r="F5" s="3">
        <f t="shared" si="1"/>
        <v>22210.991787744788</v>
      </c>
    </row>
    <row r="6" spans="1:6" x14ac:dyDescent="0.6">
      <c r="A6" t="s">
        <v>26</v>
      </c>
      <c r="B6" s="2">
        <v>15830000</v>
      </c>
      <c r="C6" s="6">
        <v>24</v>
      </c>
      <c r="D6" s="6">
        <v>156</v>
      </c>
      <c r="E6" s="3">
        <f t="shared" ref="E6:E26" si="2">(C4+C5+C6*2)</f>
        <v>199.8</v>
      </c>
      <c r="F6" s="3">
        <f t="shared" si="1"/>
        <v>12621.604548325962</v>
      </c>
    </row>
    <row r="7" spans="1:6" x14ac:dyDescent="0.6">
      <c r="A7" t="s">
        <v>3</v>
      </c>
      <c r="B7" s="2">
        <v>15830000</v>
      </c>
      <c r="C7" s="3">
        <v>52.4</v>
      </c>
      <c r="D7" s="3">
        <v>30</v>
      </c>
      <c r="E7" s="3">
        <f t="shared" si="2"/>
        <v>151.6</v>
      </c>
      <c r="F7" s="3">
        <f t="shared" si="1"/>
        <v>9576.753000631712</v>
      </c>
    </row>
    <row r="8" spans="1:6" x14ac:dyDescent="0.6">
      <c r="A8" t="s">
        <v>4</v>
      </c>
      <c r="B8" s="2">
        <v>15830000</v>
      </c>
      <c r="C8" s="3">
        <v>183</v>
      </c>
      <c r="D8" s="3">
        <v>173</v>
      </c>
      <c r="E8" s="3">
        <f t="shared" si="2"/>
        <v>442.4</v>
      </c>
      <c r="F8" s="3">
        <f t="shared" si="1"/>
        <v>27946.936197094125</v>
      </c>
    </row>
    <row r="9" spans="1:6" x14ac:dyDescent="0.6">
      <c r="A9" t="s">
        <v>5</v>
      </c>
      <c r="B9" s="2">
        <v>15830000</v>
      </c>
      <c r="C9" s="3">
        <v>24</v>
      </c>
      <c r="D9" s="3">
        <v>10</v>
      </c>
      <c r="E9" s="3">
        <f t="shared" si="2"/>
        <v>283.39999999999998</v>
      </c>
      <c r="F9" s="3">
        <f t="shared" si="1"/>
        <v>17902.716361339226</v>
      </c>
    </row>
    <row r="10" spans="1:6" x14ac:dyDescent="0.6">
      <c r="A10" t="s">
        <v>6</v>
      </c>
      <c r="B10" s="2">
        <v>15830000</v>
      </c>
      <c r="C10" s="3">
        <v>46</v>
      </c>
      <c r="D10" s="3">
        <v>48</v>
      </c>
      <c r="E10" s="3">
        <f t="shared" si="2"/>
        <v>299</v>
      </c>
      <c r="F10" s="3">
        <f t="shared" si="1"/>
        <v>18888.18698673405</v>
      </c>
    </row>
    <row r="11" spans="1:6" x14ac:dyDescent="0.6">
      <c r="A11" t="s">
        <v>7</v>
      </c>
      <c r="B11" s="2">
        <v>15830000</v>
      </c>
      <c r="C11" s="3">
        <v>20</v>
      </c>
      <c r="D11" s="3">
        <v>40</v>
      </c>
      <c r="E11" s="3">
        <f t="shared" si="2"/>
        <v>110</v>
      </c>
      <c r="F11" s="3">
        <f t="shared" si="1"/>
        <v>6948.831332912192</v>
      </c>
    </row>
    <row r="12" spans="1:6" x14ac:dyDescent="0.6">
      <c r="A12" t="s">
        <v>8</v>
      </c>
      <c r="B12" s="2">
        <v>15830000</v>
      </c>
      <c r="C12" s="3">
        <v>119</v>
      </c>
      <c r="D12" s="3">
        <v>97</v>
      </c>
      <c r="E12" s="3">
        <f t="shared" si="2"/>
        <v>304</v>
      </c>
      <c r="F12" s="3">
        <f t="shared" si="1"/>
        <v>19204.042956411875</v>
      </c>
    </row>
    <row r="13" spans="1:6" x14ac:dyDescent="0.6">
      <c r="A13" t="s">
        <v>9</v>
      </c>
      <c r="B13" s="2">
        <v>15830000</v>
      </c>
      <c r="C13" s="3">
        <v>14</v>
      </c>
      <c r="D13" s="3">
        <v>19</v>
      </c>
      <c r="E13" s="3">
        <f t="shared" si="2"/>
        <v>167</v>
      </c>
      <c r="F13" s="3">
        <f t="shared" si="1"/>
        <v>10549.589387239419</v>
      </c>
    </row>
    <row r="14" spans="1:6" x14ac:dyDescent="0.6">
      <c r="A14" t="s">
        <v>10</v>
      </c>
      <c r="B14" s="2">
        <v>15830000</v>
      </c>
      <c r="C14" s="3">
        <v>41</v>
      </c>
      <c r="D14" s="3">
        <v>36</v>
      </c>
      <c r="E14" s="3">
        <f t="shared" si="2"/>
        <v>215</v>
      </c>
      <c r="F14" s="3">
        <f t="shared" si="1"/>
        <v>13581.806696146557</v>
      </c>
    </row>
    <row r="15" spans="1:6" x14ac:dyDescent="0.6">
      <c r="A15" t="s">
        <v>11</v>
      </c>
      <c r="B15" s="2">
        <v>15830000</v>
      </c>
      <c r="C15" s="3">
        <v>66</v>
      </c>
      <c r="D15" s="3">
        <v>88</v>
      </c>
      <c r="E15" s="3">
        <f t="shared" si="2"/>
        <v>187</v>
      </c>
      <c r="F15" s="3">
        <f t="shared" si="1"/>
        <v>11813.013265950725</v>
      </c>
    </row>
    <row r="16" spans="1:6" x14ac:dyDescent="0.6">
      <c r="A16" t="s">
        <v>12</v>
      </c>
      <c r="B16" s="2">
        <v>15830000</v>
      </c>
      <c r="C16" s="3">
        <v>76</v>
      </c>
      <c r="D16" s="3">
        <v>-31</v>
      </c>
      <c r="E16" s="3">
        <f t="shared" si="2"/>
        <v>259</v>
      </c>
      <c r="F16" s="3">
        <f t="shared" si="1"/>
        <v>16361.339229311434</v>
      </c>
    </row>
    <row r="17" spans="1:6" x14ac:dyDescent="0.6">
      <c r="A17" t="s">
        <v>13</v>
      </c>
      <c r="B17" s="2">
        <v>15830000</v>
      </c>
      <c r="C17" s="3">
        <v>106</v>
      </c>
      <c r="D17" s="3">
        <v>139</v>
      </c>
      <c r="E17" s="3">
        <f t="shared" si="2"/>
        <v>354</v>
      </c>
      <c r="F17" s="3">
        <f t="shared" si="1"/>
        <v>22362.602653190148</v>
      </c>
    </row>
    <row r="18" spans="1:6" x14ac:dyDescent="0.6">
      <c r="A18" t="s">
        <v>14</v>
      </c>
      <c r="B18" s="2">
        <v>15830000</v>
      </c>
      <c r="C18" s="3">
        <v>114</v>
      </c>
      <c r="D18" s="3">
        <v>140</v>
      </c>
      <c r="E18" s="3">
        <f t="shared" si="2"/>
        <v>410</v>
      </c>
      <c r="F18" s="3">
        <f t="shared" si="1"/>
        <v>25900.189513581809</v>
      </c>
    </row>
    <row r="19" spans="1:6" x14ac:dyDescent="0.6">
      <c r="A19" t="s">
        <v>15</v>
      </c>
      <c r="B19" s="2">
        <v>15830000</v>
      </c>
      <c r="C19" s="3">
        <v>52</v>
      </c>
      <c r="D19" s="3">
        <v>51</v>
      </c>
      <c r="E19" s="3">
        <f t="shared" si="2"/>
        <v>324</v>
      </c>
      <c r="F19" s="3">
        <f t="shared" si="1"/>
        <v>20467.466835123185</v>
      </c>
    </row>
    <row r="20" spans="1:6" x14ac:dyDescent="0.6">
      <c r="A20" t="s">
        <v>16</v>
      </c>
      <c r="B20" s="2">
        <v>15830000</v>
      </c>
      <c r="C20" s="3">
        <v>140</v>
      </c>
      <c r="D20" s="3">
        <v>96</v>
      </c>
      <c r="E20" s="3">
        <f t="shared" si="2"/>
        <v>446</v>
      </c>
      <c r="F20" s="3">
        <f t="shared" si="1"/>
        <v>28174.352495262159</v>
      </c>
    </row>
    <row r="21" spans="1:6" x14ac:dyDescent="0.6">
      <c r="A21" t="s">
        <v>17</v>
      </c>
      <c r="B21" s="2">
        <v>15830000</v>
      </c>
      <c r="C21" s="3">
        <v>81</v>
      </c>
      <c r="D21" s="3">
        <v>86</v>
      </c>
      <c r="E21" s="3">
        <f t="shared" si="2"/>
        <v>354</v>
      </c>
      <c r="F21" s="3">
        <f t="shared" si="1"/>
        <v>22362.602653190148</v>
      </c>
    </row>
    <row r="22" spans="1:6" x14ac:dyDescent="0.6">
      <c r="A22" t="s">
        <v>18</v>
      </c>
      <c r="B22" s="2">
        <v>15830000</v>
      </c>
      <c r="C22" s="3">
        <v>24</v>
      </c>
      <c r="D22" s="3">
        <v>21</v>
      </c>
      <c r="E22" s="3">
        <f t="shared" si="2"/>
        <v>269</v>
      </c>
      <c r="F22" s="3">
        <f t="shared" si="1"/>
        <v>16993.051168667087</v>
      </c>
    </row>
    <row r="23" spans="1:6" x14ac:dyDescent="0.6">
      <c r="A23" t="s">
        <v>19</v>
      </c>
      <c r="B23" s="2">
        <v>15830000</v>
      </c>
      <c r="C23" s="3">
        <v>11</v>
      </c>
      <c r="D23" s="3">
        <v>29</v>
      </c>
      <c r="E23" s="3">
        <f t="shared" si="2"/>
        <v>127</v>
      </c>
      <c r="F23" s="3">
        <f t="shared" si="1"/>
        <v>8022.7416298168027</v>
      </c>
    </row>
    <row r="24" spans="1:6" x14ac:dyDescent="0.6">
      <c r="A24" t="s">
        <v>20</v>
      </c>
      <c r="B24" s="2">
        <v>15830000</v>
      </c>
      <c r="C24" s="3">
        <v>26</v>
      </c>
      <c r="D24" s="3">
        <v>-11</v>
      </c>
      <c r="E24" s="3">
        <f t="shared" si="2"/>
        <v>87</v>
      </c>
      <c r="F24" s="3">
        <f t="shared" si="1"/>
        <v>5495.8938723941883</v>
      </c>
    </row>
    <row r="25" spans="1:6" x14ac:dyDescent="0.6">
      <c r="A25" t="s">
        <v>21</v>
      </c>
      <c r="B25" s="2">
        <v>15830000</v>
      </c>
      <c r="C25" s="3">
        <v>52</v>
      </c>
      <c r="D25" s="3">
        <v>34</v>
      </c>
      <c r="E25" s="3">
        <f t="shared" si="2"/>
        <v>141</v>
      </c>
      <c r="F25" s="3">
        <f t="shared" si="1"/>
        <v>8907.1383449147179</v>
      </c>
    </row>
    <row r="26" spans="1:6" x14ac:dyDescent="0.6">
      <c r="A26" t="s">
        <v>22</v>
      </c>
      <c r="B26" s="2">
        <v>15830000</v>
      </c>
      <c r="C26" s="3">
        <v>57</v>
      </c>
      <c r="D26" s="3">
        <v>56</v>
      </c>
      <c r="E26" s="3">
        <f t="shared" si="2"/>
        <v>192</v>
      </c>
      <c r="F26" s="1"/>
    </row>
    <row r="27" spans="1:6" x14ac:dyDescent="0.6">
      <c r="A27" t="s">
        <v>23</v>
      </c>
      <c r="B27" s="2">
        <v>15830000</v>
      </c>
      <c r="C27" s="3">
        <v>20</v>
      </c>
      <c r="D27" s="3">
        <v>28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에스티아이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2025-01-30T13:01:03Z</dcterms:created>
  <dcterms:modified xsi:type="dcterms:W3CDTF">2025-12-30T07:25:10Z</dcterms:modified>
</cp:coreProperties>
</file>