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63D584CD-A76A-451A-B64A-43E854986FA4}" xr6:coauthVersionLast="47" xr6:coauthVersionMax="47" xr10:uidLastSave="{00000000-0000-0000-0000-000000000000}"/>
  <bookViews>
    <workbookView xWindow="28702" yWindow="-98" windowWidth="28995" windowHeight="16395" xr2:uid="{B4A2AFA2-309D-402A-8814-206C193F4B61}"/>
  </bookViews>
  <sheets>
    <sheet name="한화솔루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F8" i="1" s="1"/>
  <c r="E9" i="1"/>
  <c r="F9" i="1" s="1"/>
  <c r="E10" i="1"/>
  <c r="F10" i="1" s="1"/>
  <c r="E11" i="1"/>
  <c r="F11" i="1" s="1"/>
  <c r="E12" i="1"/>
  <c r="E13" i="1"/>
  <c r="E14" i="1"/>
  <c r="E15" i="1"/>
  <c r="E16" i="1"/>
  <c r="E17" i="1"/>
  <c r="E18" i="1"/>
  <c r="E19" i="1"/>
  <c r="E20" i="1"/>
  <c r="E21" i="1"/>
  <c r="E22" i="1"/>
  <c r="E3" i="1"/>
  <c r="F3" i="1" s="1"/>
  <c r="E2" i="1"/>
  <c r="F2" i="1" s="1"/>
  <c r="F22" i="1"/>
  <c r="F21" i="1"/>
  <c r="F20" i="1"/>
  <c r="F19" i="1"/>
  <c r="F18" i="1"/>
  <c r="F17" i="1"/>
  <c r="F16" i="1"/>
  <c r="F15" i="1"/>
  <c r="F14" i="1"/>
  <c r="F13" i="1"/>
  <c r="F12" i="1"/>
  <c r="F7" i="1"/>
  <c r="F6" i="1"/>
  <c r="F5" i="1"/>
  <c r="F4" i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<sst xmlns="http://schemas.openxmlformats.org/spreadsheetml/2006/main" count="29" uniqueCount="29">
  <si>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</si>
  <si>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</si>
  <si>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</si>
  <si>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</si>
  <si>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</si>
  <si>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</si>
  <si>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</si>
  <si>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</si>
  <si>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</si>
  <si>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</si>
  <si>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</si>
  <si>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</si>
  <si>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</si>
  <si>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</si>
  <si>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</si>
  <si>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</si>
  <si>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</si>
  <si>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</si>
  <si>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</si>
  <si>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</si>
  <si>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</si>
  <si>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</si>
  <si>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</si>
  <si>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</si>
  <si>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</si>
  <si>
    <t>4Q_income</t>
  </si>
  <si>
    <t>목표가</t>
  </si>
  <si>
    <t>2025.2Q</t>
  </si>
  <si>
    <t>2025.3Q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</si>
</sst>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F6A8-5540-41F3-90A1-95981879DC13}">
  <dimension ref="A1:F24"/>
  <sheetViews>
    <sheetView tabSelected="1" workbookViewId="0">
      <selection activeCell="I7" sqref="I7"/>
    </sheetView>
  </sheetViews>
  <sheetFormatPr defaultRowHeight="16.899999999999999" x14ac:dyDescent="0.6"/>
  <cols>
    <col min="2" max="2" width="11.37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6">
      <c r="A2" t="s">
        <v>28</v>
      </c>
      <c r="B2" s="1">
        <v>171892536</v>
      </c>
      <c r="C2">
        <v>2145</v>
      </c>
      <c r="D2">
        <v>1042</v>
      </c>
      <c r="E2">
        <f>SUM(C2:C5)</f>
        <v>2218</v>
      </c>
      <c r="F2" s="2">
        <f>E2*100000000/B2*10</f>
        <v>12903.410768225564</v>
      </c>
    </row>
    <row r="3" spans="1:6" x14ac:dyDescent="0.6">
      <c r="A3" t="s">
        <v>27</v>
      </c>
      <c r="B3" s="1">
        <v>171892536</v>
      </c>
      <c r="C3">
        <v>515</v>
      </c>
      <c r="D3">
        <v>-228</v>
      </c>
      <c r="E3">
        <f>SUM(C2:C5)</f>
        <v>2218</v>
      </c>
      <c r="F3" s="2">
        <f>E3*100000000/B3*10</f>
        <v>12903.410768225564</v>
      </c>
    </row>
    <row r="4" spans="1:6" x14ac:dyDescent="0.6">
      <c r="A4" t="s">
        <v>3</v>
      </c>
      <c r="B4" s="1">
        <v>171892536</v>
      </c>
      <c r="C4" s="1">
        <v>-534</v>
      </c>
      <c r="D4" s="1">
        <v>-1397</v>
      </c>
      <c r="E4">
        <f t="shared" ref="E4:E22" si="0">SUM(C3:C6)</f>
        <v>-737</v>
      </c>
      <c r="F4" s="2">
        <f t="shared" ref="F4:F22" si="1">E4*100000000/B4*10</f>
        <v>-4287.5625501272489</v>
      </c>
    </row>
    <row r="5" spans="1:6" x14ac:dyDescent="0.6">
      <c r="A5" t="s">
        <v>4</v>
      </c>
      <c r="B5" s="1">
        <v>171892536</v>
      </c>
      <c r="C5" s="1">
        <v>92</v>
      </c>
      <c r="D5" s="1">
        <v>-1587</v>
      </c>
      <c r="E5">
        <f t="shared" si="0"/>
        <v>-2330</v>
      </c>
      <c r="F5" s="2">
        <f t="shared" si="1"/>
        <v>-13554.980653726581</v>
      </c>
    </row>
    <row r="6" spans="1:6" x14ac:dyDescent="0.6">
      <c r="A6" t="s">
        <v>5</v>
      </c>
      <c r="B6" s="1">
        <v>171892536</v>
      </c>
      <c r="C6" s="1">
        <v>-810</v>
      </c>
      <c r="D6" s="1">
        <v>-3876</v>
      </c>
      <c r="E6">
        <f t="shared" si="0"/>
        <v>-3962</v>
      </c>
      <c r="F6" s="2">
        <f t="shared" si="1"/>
        <v>-23049.284699598593</v>
      </c>
    </row>
    <row r="7" spans="1:6" x14ac:dyDescent="0.6">
      <c r="A7" t="s">
        <v>6</v>
      </c>
      <c r="B7" s="1">
        <v>171892536</v>
      </c>
      <c r="C7" s="1">
        <v>-1078</v>
      </c>
      <c r="D7" s="1">
        <v>-3297</v>
      </c>
      <c r="E7">
        <f t="shared" si="0"/>
        <v>-3647</v>
      </c>
      <c r="F7" s="2">
        <f t="shared" si="1"/>
        <v>-21216.744396626971</v>
      </c>
    </row>
    <row r="8" spans="1:6" x14ac:dyDescent="0.6">
      <c r="A8" t="s">
        <v>7</v>
      </c>
      <c r="B8" s="1">
        <v>171892536</v>
      </c>
      <c r="C8" s="1">
        <v>-2166</v>
      </c>
      <c r="D8" s="1">
        <v>-4484</v>
      </c>
      <c r="E8">
        <f t="shared" si="0"/>
        <v>-1854</v>
      </c>
      <c r="F8" s="2">
        <f t="shared" si="1"/>
        <v>-10785.808640347244</v>
      </c>
    </row>
    <row r="9" spans="1:6" x14ac:dyDescent="0.6">
      <c r="A9" t="s">
        <v>8</v>
      </c>
      <c r="B9" s="1">
        <v>171892536</v>
      </c>
      <c r="C9" s="1">
        <v>407</v>
      </c>
      <c r="D9" s="1">
        <v>-3301</v>
      </c>
      <c r="E9">
        <f t="shared" si="0"/>
        <v>1165</v>
      </c>
      <c r="F9" s="2">
        <f t="shared" si="1"/>
        <v>6777.4903268632906</v>
      </c>
    </row>
    <row r="10" spans="1:6" x14ac:dyDescent="0.6">
      <c r="A10" t="s">
        <v>9</v>
      </c>
      <c r="B10" s="1">
        <v>171892536</v>
      </c>
      <c r="C10" s="1">
        <v>983</v>
      </c>
      <c r="D10" s="1">
        <v>206</v>
      </c>
      <c r="E10">
        <f t="shared" si="0"/>
        <v>6045</v>
      </c>
      <c r="F10" s="2">
        <f t="shared" si="1"/>
        <v>35167.321052264888</v>
      </c>
    </row>
    <row r="11" spans="1:6" x14ac:dyDescent="0.6">
      <c r="A11" t="s">
        <v>10</v>
      </c>
      <c r="B11" s="1">
        <v>171892536</v>
      </c>
      <c r="C11" s="1">
        <v>1941</v>
      </c>
      <c r="D11" s="1">
        <v>208</v>
      </c>
      <c r="E11">
        <f t="shared" si="0"/>
        <v>7035</v>
      </c>
      <c r="F11" s="2">
        <f t="shared" si="1"/>
        <v>40926.73343303283</v>
      </c>
    </row>
    <row r="12" spans="1:6" x14ac:dyDescent="0.6">
      <c r="A12" t="s">
        <v>11</v>
      </c>
      <c r="B12" s="1">
        <v>171892536</v>
      </c>
      <c r="C12" s="1">
        <v>2714</v>
      </c>
      <c r="D12" s="1">
        <v>1334</v>
      </c>
      <c r="E12">
        <f t="shared" si="0"/>
        <v>9536</v>
      </c>
      <c r="F12" s="2">
        <f t="shared" si="1"/>
        <v>55476.521679801153</v>
      </c>
    </row>
    <row r="13" spans="1:6" x14ac:dyDescent="0.6">
      <c r="A13" t="s">
        <v>12</v>
      </c>
      <c r="B13" s="1">
        <v>171892536</v>
      </c>
      <c r="C13" s="1">
        <v>1397</v>
      </c>
      <c r="D13" s="1">
        <v>-1202</v>
      </c>
      <c r="E13">
        <f t="shared" si="0"/>
        <v>10373</v>
      </c>
      <c r="F13" s="2">
        <f t="shared" si="1"/>
        <v>60345.843056268597</v>
      </c>
    </row>
    <row r="14" spans="1:6" x14ac:dyDescent="0.6">
      <c r="A14" t="s">
        <v>13</v>
      </c>
      <c r="B14" s="1">
        <v>171892536</v>
      </c>
      <c r="C14" s="1">
        <v>3484</v>
      </c>
      <c r="D14" s="1">
        <v>1386</v>
      </c>
      <c r="E14">
        <f t="shared" si="0"/>
        <v>9238</v>
      </c>
      <c r="F14" s="2">
        <f t="shared" si="1"/>
        <v>53742.880377307367</v>
      </c>
    </row>
    <row r="15" spans="1:6" x14ac:dyDescent="0.6">
      <c r="A15" t="s">
        <v>14</v>
      </c>
      <c r="B15" s="1">
        <v>171892536</v>
      </c>
      <c r="C15" s="1">
        <v>2778</v>
      </c>
      <c r="D15" s="1">
        <v>2445</v>
      </c>
      <c r="E15">
        <f t="shared" si="0"/>
        <v>8684</v>
      </c>
      <c r="F15" s="2">
        <f t="shared" si="1"/>
        <v>50519.936479382675</v>
      </c>
    </row>
    <row r="16" spans="1:6" x14ac:dyDescent="0.6">
      <c r="A16" t="s">
        <v>15</v>
      </c>
      <c r="B16" s="1">
        <v>171892536</v>
      </c>
      <c r="C16" s="1">
        <v>1579</v>
      </c>
      <c r="D16" s="1">
        <v>1031</v>
      </c>
      <c r="E16">
        <f t="shared" si="0"/>
        <v>6984</v>
      </c>
      <c r="F16" s="2">
        <f t="shared" si="1"/>
        <v>40630.036431599336</v>
      </c>
    </row>
    <row r="17" spans="1:6" x14ac:dyDescent="0.6">
      <c r="A17" t="s">
        <v>16</v>
      </c>
      <c r="B17" s="1">
        <v>171892536</v>
      </c>
      <c r="C17" s="1">
        <v>843</v>
      </c>
      <c r="D17" s="1">
        <v>-1851</v>
      </c>
      <c r="E17">
        <f t="shared" si="0"/>
        <v>6417</v>
      </c>
      <c r="F17" s="2">
        <f t="shared" si="1"/>
        <v>37331.463886250414</v>
      </c>
    </row>
    <row r="18" spans="1:6" x14ac:dyDescent="0.6">
      <c r="A18" t="s">
        <v>17</v>
      </c>
      <c r="B18" s="1">
        <v>171892536</v>
      </c>
      <c r="C18" s="1">
        <v>1784</v>
      </c>
      <c r="D18" s="1">
        <v>1934</v>
      </c>
      <c r="E18">
        <f t="shared" si="0"/>
        <v>7384</v>
      </c>
      <c r="F18" s="2">
        <f t="shared" si="1"/>
        <v>42957.071736960126</v>
      </c>
    </row>
    <row r="19" spans="1:6" x14ac:dyDescent="0.6">
      <c r="A19" t="s">
        <v>18</v>
      </c>
      <c r="B19" s="1">
        <v>171892536</v>
      </c>
      <c r="C19" s="1">
        <v>2211</v>
      </c>
      <c r="D19" s="1">
        <v>2228</v>
      </c>
      <c r="E19">
        <f t="shared" si="0"/>
        <v>7195</v>
      </c>
      <c r="F19" s="2">
        <f t="shared" si="1"/>
        <v>41857.547555177152</v>
      </c>
    </row>
    <row r="20" spans="1:6" x14ac:dyDescent="0.6">
      <c r="A20" t="s">
        <v>19</v>
      </c>
      <c r="B20" s="1">
        <v>171892536</v>
      </c>
      <c r="C20" s="1">
        <v>2546</v>
      </c>
      <c r="D20" s="1">
        <v>3852</v>
      </c>
      <c r="E20">
        <f t="shared" si="0"/>
        <v>7743</v>
      </c>
      <c r="F20" s="2">
        <f t="shared" si="1"/>
        <v>45045.58592352143</v>
      </c>
    </row>
    <row r="21" spans="1:6" x14ac:dyDescent="0.6">
      <c r="A21" t="s">
        <v>20</v>
      </c>
      <c r="B21" s="1">
        <v>171892536</v>
      </c>
      <c r="C21" s="1">
        <v>654</v>
      </c>
      <c r="D21" s="1">
        <v>-993</v>
      </c>
      <c r="E21">
        <f t="shared" si="0"/>
        <v>6898</v>
      </c>
      <c r="F21" s="2">
        <f t="shared" si="1"/>
        <v>40129.723840946761</v>
      </c>
    </row>
    <row r="22" spans="1:6" x14ac:dyDescent="0.6">
      <c r="A22" t="s">
        <v>21</v>
      </c>
      <c r="B22" s="1">
        <v>171892536</v>
      </c>
      <c r="C22" s="1">
        <v>2332</v>
      </c>
      <c r="D22" s="1">
        <v>1897</v>
      </c>
      <c r="E22">
        <f t="shared" si="0"/>
        <v>5942</v>
      </c>
      <c r="F22" s="2">
        <f t="shared" si="1"/>
        <v>34568.109461134489</v>
      </c>
    </row>
    <row r="23" spans="1:6" x14ac:dyDescent="0.6">
      <c r="A23" t="s">
        <v>22</v>
      </c>
      <c r="B23" s="1">
        <v>171892536</v>
      </c>
      <c r="C23" s="1">
        <v>1366</v>
      </c>
      <c r="D23" s="1">
        <v>1473</v>
      </c>
      <c r="F23" s="2"/>
    </row>
    <row r="24" spans="1:6" x14ac:dyDescent="0.6">
      <c r="A24" t="s">
        <v>23</v>
      </c>
      <c r="B24" s="1">
        <v>171892536</v>
      </c>
      <c r="C24" s="1">
        <v>1590</v>
      </c>
      <c r="D24" s="1">
        <v>640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한화솔루션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2025-02-02T03:12:20Z</dcterms:created>
  <dcterms:modified xsi:type="dcterms:W3CDTF">2025-04-14T04:39:50Z</dcterms:modified>
</cp:coreProperties>
</file>