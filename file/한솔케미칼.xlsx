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BEAADFEA-F961-43C8-AF18-8EDE6C40FA62}" xr6:coauthVersionLast="47" xr6:coauthVersionMax="47" xr10:uidLastSave="{00000000-0000-0000-0000-000000000000}"/>
  <bookViews>
    <workbookView xWindow="5910" yWindow="3908" windowWidth="13635" windowHeight="7260" xr2:uid="{D3AF1327-C308-42CF-AFA5-FE59593F7F78}"/>
  </bookViews>
  <sheets>
    <sheet name="한솔케미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4" i="1"/>
  <c r="E3" i="1"/>
  <c r="E2" i="1"/>
</calcChain>
</file>

<file path=xl/sharedStrings.xml><?xml version="1.0" encoding="utf-8"?>
<sst xmlns="http://schemas.openxmlformats.org/spreadsheetml/2006/main" count="33" uniqueCount="33">
  <si>
    <t>분기</t>
  </si>
  <si>
    <t>상장주식수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</si>
  <si>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</si>
  <si>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</si>
  <si>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</si>
  <si>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</si>
  <si>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</si>
  <si>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</si>
  <si>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</si>
  <si>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</si>
  <si>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</si>
  <si>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</si>
  <si>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</si>
  <si>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</si>
  <si>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</si>
  <si>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</si>
  <si>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</si>
  <si>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</si>
  <si>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</si>
  <si>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</si>
  <si>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</si>
  <si>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</si>
  <si>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</si>
  <si>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</si>
  <si>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</si>
  <si>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</si>
  <si>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</si>
  <si>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</si>
  <si>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2026.2Q</t>
    <phoneticPr fontId="18" type="noConversion"/>
  </si>
  <si>
    <t>2026.1Q</t>
    <phoneticPr fontId="18" type="noConversion"/>
  </si>
  <si>
    <t>2025.4Q</t>
  </si>
  <si>
    <t>2025.3Q</t>
    <phoneticPr fontId="18" type="noConversion"/>
  </si>
  <si>
    <t>2026.3Q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</si>
</sst>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41" fontId="14" fillId="0" borderId="0" xfId="42" applyFont="1">
      <alignment vertical="center"/>
    </xf>
    <xf numFmtId="41" fontId="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A833-32CD-41F0-8697-E13F527EEF91}">
  <dimension ref="A1:F28"/>
  <sheetViews>
    <sheetView tabSelected="1" workbookViewId="0">
      <selection activeCell="F2" sqref="F2:F26"/>
    </sheetView>
  </sheetViews>
  <sheetFormatPr defaultRowHeight="16.899999999999999" x14ac:dyDescent="0.6"/>
  <cols>
    <col min="2" max="2" width="12.375" customWidth="1"/>
  </cols>
  <sheetData>
    <row r="1" spans="1: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6">
      <c r="A2" t="s">
        <v>32</v>
      </c>
      <c r="B2" s="1">
        <v>11012899</v>
      </c>
      <c r="C2" s="3">
        <v>549</v>
      </c>
      <c r="D2" s="3">
        <v>526</v>
      </c>
      <c r="E2" s="4">
        <f>(C2*2+C3*2)</f>
        <v>2112</v>
      </c>
      <c r="F2" s="4">
        <f>E2*100000000/B2*20</f>
        <v>383550.23504710244</v>
      </c>
    </row>
    <row r="3" spans="1:6" x14ac:dyDescent="0.6">
      <c r="A3" t="s">
        <v>28</v>
      </c>
      <c r="B3" s="1">
        <v>11012899</v>
      </c>
      <c r="C3" s="3">
        <v>507</v>
      </c>
      <c r="D3" s="3">
        <v>482</v>
      </c>
      <c r="E3" s="4">
        <f>(C3*2+C2*2)</f>
        <v>2112</v>
      </c>
      <c r="F3" s="4">
        <f t="shared" ref="F3:F26" si="0">E3*100000000/B3*20</f>
        <v>383550.23504710244</v>
      </c>
    </row>
    <row r="4" spans="1:6" x14ac:dyDescent="0.6">
      <c r="A4" t="s">
        <v>29</v>
      </c>
      <c r="B4" s="1">
        <v>11012899</v>
      </c>
      <c r="C4" s="3">
        <v>169</v>
      </c>
      <c r="D4" s="3">
        <v>175</v>
      </c>
      <c r="E4" s="4">
        <f>(C3+C4*2+C2)</f>
        <v>1394</v>
      </c>
      <c r="F4" s="4">
        <f t="shared" si="0"/>
        <v>253157.68354908185</v>
      </c>
    </row>
    <row r="5" spans="1:6" x14ac:dyDescent="0.6">
      <c r="A5" t="s">
        <v>30</v>
      </c>
      <c r="B5" s="1">
        <v>11012899</v>
      </c>
      <c r="C5" s="4">
        <v>488</v>
      </c>
      <c r="D5" s="4">
        <v>465</v>
      </c>
      <c r="E5" s="4">
        <f t="shared" ref="E5:E26" si="1">(C4+C5*2+C3)</f>
        <v>1652</v>
      </c>
      <c r="F5" s="4">
        <f t="shared" si="0"/>
        <v>300011.83158040402</v>
      </c>
    </row>
    <row r="6" spans="1:6" x14ac:dyDescent="0.6">
      <c r="A6" t="s">
        <v>31</v>
      </c>
      <c r="B6" s="1">
        <v>11012899</v>
      </c>
      <c r="C6" s="4">
        <v>489</v>
      </c>
      <c r="D6" s="4">
        <v>486</v>
      </c>
      <c r="E6" s="4">
        <f t="shared" si="1"/>
        <v>1635</v>
      </c>
      <c r="F6" s="4">
        <f t="shared" si="0"/>
        <v>296924.54275663471</v>
      </c>
    </row>
    <row r="7" spans="1:6" x14ac:dyDescent="0.6">
      <c r="A7" t="s">
        <v>6</v>
      </c>
      <c r="B7" s="1">
        <v>11012899</v>
      </c>
      <c r="C7" s="4">
        <v>417</v>
      </c>
      <c r="D7" s="4">
        <v>355</v>
      </c>
      <c r="E7" s="4">
        <f t="shared" si="1"/>
        <v>1811</v>
      </c>
      <c r="F7" s="4">
        <f t="shared" si="0"/>
        <v>328887.06234389328</v>
      </c>
    </row>
    <row r="8" spans="1:6" x14ac:dyDescent="0.6">
      <c r="A8" t="s">
        <v>7</v>
      </c>
      <c r="B8" s="1">
        <v>11012899</v>
      </c>
      <c r="C8" s="4">
        <v>225</v>
      </c>
      <c r="D8" s="4">
        <v>244</v>
      </c>
      <c r="E8" s="4">
        <f t="shared" si="1"/>
        <v>1356</v>
      </c>
      <c r="F8" s="4">
        <f t="shared" si="0"/>
        <v>246256.68500183284</v>
      </c>
    </row>
    <row r="9" spans="1:6" x14ac:dyDescent="0.6">
      <c r="A9" t="s">
        <v>8</v>
      </c>
      <c r="B9" s="1">
        <v>11012899</v>
      </c>
      <c r="C9" s="4">
        <v>370</v>
      </c>
      <c r="D9" s="4">
        <v>322</v>
      </c>
      <c r="E9" s="4">
        <f t="shared" si="1"/>
        <v>1382</v>
      </c>
      <c r="F9" s="4">
        <f t="shared" si="0"/>
        <v>250978.42084995061</v>
      </c>
    </row>
    <row r="10" spans="1:6" x14ac:dyDescent="0.6">
      <c r="A10" t="s">
        <v>9</v>
      </c>
      <c r="B10" s="1">
        <v>11012899</v>
      </c>
      <c r="C10" s="4">
        <v>351</v>
      </c>
      <c r="D10" s="4">
        <v>365</v>
      </c>
      <c r="E10" s="4">
        <f t="shared" si="1"/>
        <v>1297</v>
      </c>
      <c r="F10" s="4">
        <f t="shared" si="0"/>
        <v>235541.97673110414</v>
      </c>
    </row>
    <row r="11" spans="1:6" x14ac:dyDescent="0.6">
      <c r="A11" t="s">
        <v>10</v>
      </c>
      <c r="B11" s="1">
        <v>11012899</v>
      </c>
      <c r="C11" s="4">
        <v>342</v>
      </c>
      <c r="D11" s="4">
        <v>317</v>
      </c>
      <c r="E11" s="4">
        <f t="shared" si="1"/>
        <v>1405</v>
      </c>
      <c r="F11" s="4">
        <f t="shared" si="0"/>
        <v>255155.34102328552</v>
      </c>
    </row>
    <row r="12" spans="1:6" x14ac:dyDescent="0.6">
      <c r="A12" t="s">
        <v>11</v>
      </c>
      <c r="B12" s="1">
        <v>11012899</v>
      </c>
      <c r="C12" s="4">
        <v>210</v>
      </c>
      <c r="D12" s="4">
        <v>186</v>
      </c>
      <c r="E12" s="4">
        <f t="shared" si="1"/>
        <v>1113</v>
      </c>
      <c r="F12" s="4">
        <f t="shared" si="0"/>
        <v>202126.61534442476</v>
      </c>
    </row>
    <row r="13" spans="1:6" x14ac:dyDescent="0.6">
      <c r="A13" t="s">
        <v>12</v>
      </c>
      <c r="B13" s="1">
        <v>11012899</v>
      </c>
      <c r="C13" s="4">
        <v>356</v>
      </c>
      <c r="D13" s="4">
        <v>303</v>
      </c>
      <c r="E13" s="4">
        <f t="shared" si="1"/>
        <v>1264</v>
      </c>
      <c r="F13" s="4">
        <f t="shared" si="0"/>
        <v>229549.00430849317</v>
      </c>
    </row>
    <row r="14" spans="1:6" x14ac:dyDescent="0.6">
      <c r="A14" t="s">
        <v>13</v>
      </c>
      <c r="B14" s="1">
        <v>11012899</v>
      </c>
      <c r="C14" s="4">
        <v>326</v>
      </c>
      <c r="D14" s="4">
        <v>306</v>
      </c>
      <c r="E14" s="4">
        <f t="shared" si="1"/>
        <v>1218</v>
      </c>
      <c r="F14" s="4">
        <f t="shared" si="0"/>
        <v>221195.1639618233</v>
      </c>
    </row>
    <row r="15" spans="1:6" x14ac:dyDescent="0.6">
      <c r="A15" t="s">
        <v>14</v>
      </c>
      <c r="B15" s="1">
        <v>11012899</v>
      </c>
      <c r="C15" s="4">
        <v>349</v>
      </c>
      <c r="D15" s="4">
        <v>291</v>
      </c>
      <c r="E15" s="4">
        <f t="shared" si="1"/>
        <v>1380</v>
      </c>
      <c r="F15" s="4">
        <f t="shared" si="0"/>
        <v>250615.21040009538</v>
      </c>
    </row>
    <row r="16" spans="1:6" x14ac:dyDescent="0.6">
      <c r="A16" t="s">
        <v>15</v>
      </c>
      <c r="B16" s="1">
        <v>11012899</v>
      </c>
      <c r="C16" s="4">
        <v>257</v>
      </c>
      <c r="D16" s="4">
        <v>351</v>
      </c>
      <c r="E16" s="4">
        <f t="shared" si="1"/>
        <v>1189</v>
      </c>
      <c r="F16" s="4">
        <f t="shared" si="0"/>
        <v>215928.61243892275</v>
      </c>
    </row>
    <row r="17" spans="1:6" x14ac:dyDescent="0.6">
      <c r="A17" t="s">
        <v>16</v>
      </c>
      <c r="B17" s="1">
        <v>11012899</v>
      </c>
      <c r="C17" s="2">
        <v>457</v>
      </c>
      <c r="D17" s="2">
        <v>377</v>
      </c>
      <c r="E17">
        <f t="shared" si="1"/>
        <v>1520</v>
      </c>
      <c r="F17" s="4">
        <f t="shared" si="0"/>
        <v>276039.94188996014</v>
      </c>
    </row>
    <row r="18" spans="1:6" x14ac:dyDescent="0.6">
      <c r="A18" t="s">
        <v>17</v>
      </c>
      <c r="B18" s="1">
        <v>11012899</v>
      </c>
      <c r="C18" s="2">
        <v>604</v>
      </c>
      <c r="D18" s="2">
        <v>501</v>
      </c>
      <c r="E18">
        <f t="shared" si="1"/>
        <v>1922</v>
      </c>
      <c r="F18" s="4">
        <f t="shared" si="0"/>
        <v>349045.24231085752</v>
      </c>
    </row>
    <row r="19" spans="1:6" x14ac:dyDescent="0.6">
      <c r="A19" t="s">
        <v>18</v>
      </c>
      <c r="B19" s="1">
        <v>11012899</v>
      </c>
      <c r="C19" s="2">
        <v>541</v>
      </c>
      <c r="D19" s="2">
        <v>442</v>
      </c>
      <c r="E19">
        <f t="shared" si="1"/>
        <v>2143</v>
      </c>
      <c r="F19" s="4">
        <f t="shared" si="0"/>
        <v>389179.99701985827</v>
      </c>
    </row>
    <row r="20" spans="1:6" x14ac:dyDescent="0.6">
      <c r="A20" t="s">
        <v>19</v>
      </c>
      <c r="B20" s="1">
        <v>11012899</v>
      </c>
      <c r="C20" s="2">
        <v>355</v>
      </c>
      <c r="D20" s="2">
        <v>244</v>
      </c>
      <c r="E20">
        <f t="shared" si="1"/>
        <v>1855</v>
      </c>
      <c r="F20" s="4">
        <f t="shared" si="0"/>
        <v>336877.69224070793</v>
      </c>
    </row>
    <row r="21" spans="1:6" x14ac:dyDescent="0.6">
      <c r="A21" t="s">
        <v>20</v>
      </c>
      <c r="B21" s="1">
        <v>11012899</v>
      </c>
      <c r="C21" s="2">
        <v>560</v>
      </c>
      <c r="D21" s="2">
        <v>457</v>
      </c>
      <c r="E21">
        <f t="shared" si="1"/>
        <v>2016</v>
      </c>
      <c r="F21" s="4">
        <f t="shared" si="0"/>
        <v>366116.13345405238</v>
      </c>
    </row>
    <row r="22" spans="1:6" x14ac:dyDescent="0.6">
      <c r="A22" t="s">
        <v>21</v>
      </c>
      <c r="B22" s="1">
        <v>11012899</v>
      </c>
      <c r="C22" s="2">
        <v>539</v>
      </c>
      <c r="D22" s="2">
        <v>450</v>
      </c>
      <c r="E22">
        <f t="shared" si="1"/>
        <v>1993</v>
      </c>
      <c r="F22" s="4">
        <f t="shared" si="0"/>
        <v>361939.21328071743</v>
      </c>
    </row>
    <row r="23" spans="1:6" x14ac:dyDescent="0.6">
      <c r="A23" t="s">
        <v>22</v>
      </c>
      <c r="B23" s="1">
        <v>11012899</v>
      </c>
      <c r="C23" s="2">
        <v>317</v>
      </c>
      <c r="D23" s="2">
        <v>250</v>
      </c>
      <c r="E23">
        <f t="shared" si="1"/>
        <v>1733</v>
      </c>
      <c r="F23" s="4">
        <f t="shared" si="0"/>
        <v>314721.85479954007</v>
      </c>
    </row>
    <row r="24" spans="1:6" x14ac:dyDescent="0.6">
      <c r="A24" t="s">
        <v>23</v>
      </c>
      <c r="B24" s="1">
        <v>11012899</v>
      </c>
      <c r="C24" s="2">
        <v>249</v>
      </c>
      <c r="D24" s="2">
        <v>215</v>
      </c>
      <c r="E24">
        <f t="shared" si="1"/>
        <v>1354</v>
      </c>
      <c r="F24" s="4">
        <f t="shared" si="0"/>
        <v>245893.47455197765</v>
      </c>
    </row>
    <row r="25" spans="1:6" x14ac:dyDescent="0.6">
      <c r="A25" t="s">
        <v>24</v>
      </c>
      <c r="B25" s="1">
        <v>11012899</v>
      </c>
      <c r="C25" s="2">
        <v>17</v>
      </c>
      <c r="D25" s="2">
        <v>-25</v>
      </c>
      <c r="E25">
        <f t="shared" si="1"/>
        <v>600</v>
      </c>
      <c r="F25" s="4">
        <f t="shared" si="0"/>
        <v>108963.13495656321</v>
      </c>
    </row>
    <row r="26" spans="1:6" x14ac:dyDescent="0.6">
      <c r="A26" t="s">
        <v>25</v>
      </c>
      <c r="B26" s="1">
        <v>11012899</v>
      </c>
      <c r="C26" s="2">
        <v>46</v>
      </c>
      <c r="D26" s="2">
        <v>30</v>
      </c>
      <c r="E26">
        <f t="shared" si="1"/>
        <v>358</v>
      </c>
      <c r="F26" s="4">
        <f t="shared" si="0"/>
        <v>65014.670524082714</v>
      </c>
    </row>
    <row r="27" spans="1:6" x14ac:dyDescent="0.6">
      <c r="A27" t="s">
        <v>26</v>
      </c>
      <c r="B27" s="1">
        <v>11012899</v>
      </c>
      <c r="C27" s="2">
        <v>79</v>
      </c>
      <c r="D27" s="2">
        <v>61</v>
      </c>
      <c r="F27" s="2"/>
    </row>
    <row r="28" spans="1:6" x14ac:dyDescent="0.6">
      <c r="A28" t="s">
        <v>27</v>
      </c>
      <c r="B28" s="1">
        <v>11012899</v>
      </c>
      <c r="C28" s="2">
        <v>173</v>
      </c>
      <c r="D28" s="2">
        <v>157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한솔케미칼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2025-01-28T09:43:57Z</dcterms:created>
  <dcterms:modified xsi:type="dcterms:W3CDTF">2026-05-24T02:37:26Z</dcterms:modified>
</cp:coreProperties>
</file>