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CE8D29B-6D2D-48FB-B366-F72FAF0EF6FA}" xr6:coauthVersionLast="47" xr6:coauthVersionMax="47" xr10:uidLastSave="{00000000-0000-0000-0000-000000000000}"/>
  <bookViews>
    <workbookView xWindow="28702" yWindow="-98" windowWidth="28995" windowHeight="16395" xr2:uid="{20458A90-AA7A-468A-9564-B848874231C8}"/>
  </bookViews>
  <sheets>
    <sheet name="디아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4" i="1"/>
  <c r="E2" i="1"/>
  <c r="E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" i="1"/>
  <c r="D6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<sst xmlns="http://schemas.openxmlformats.org/spreadsheetml/2006/main" count="31" uniqueCount="31">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</sst>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3" tint="0.249977111117893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41" fontId="0" fillId="0" borderId="0" xfId="42" applyFont="1">
      <alignment vertical="center"/>
    </xf>
    <xf numFmtId="0" fontId="19" fillId="0" borderId="0" xfId="0" applyFont="1">
      <alignment vertical="center"/>
    </xf>
    <xf numFmtId="0" fontId="0" fillId="34" borderId="10" xfId="0" applyFill="1" applyBorder="1">
      <alignment vertical="center"/>
    </xf>
    <xf numFmtId="3" fontId="0" fillId="34" borderId="0" xfId="0" applyNumberFormat="1" applyFill="1">
      <alignment vertical="center"/>
    </xf>
    <xf numFmtId="0" fontId="0" fillId="34" borderId="0" xfId="0" applyFill="1">
      <alignment vertical="center"/>
    </xf>
    <xf numFmtId="41" fontId="0" fillId="34" borderId="0" xfId="42" applyFont="1" applyFill="1">
      <alignment vertical="center"/>
    </xf>
    <xf numFmtId="3" fontId="0" fillId="33" borderId="0" xfId="0" applyNumberFormat="1" applyFill="1">
      <alignment vertical="center"/>
    </xf>
    <xf numFmtId="0" fontId="19" fillId="33" borderId="0" xfId="0" applyFont="1" applyFill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0" fontId="0" fillId="0" borderId="10" xfId="0" applyFont="1" applyBorder="1">
      <alignment vertical="center"/>
    </xf>
    <xf numFmtId="3" fontId="20" fillId="0" borderId="0" xfId="0" applyNumberFormat="1" applyFont="1">
      <alignment vertical="center"/>
    </xf>
    <xf numFmtId="0" fontId="20" fillId="0" borderId="0" xfId="0" applyFont="1">
      <alignment vertical="center"/>
    </xf>
    <xf numFmtId="41" fontId="20" fillId="0" borderId="0" xfId="42" applyFont="1">
      <alignment vertical="center"/>
    </xf>
    <xf numFmtId="0" fontId="20" fillId="0" borderId="10" xfId="0" applyFon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9"/>
  <sheetViews>
    <sheetView tabSelected="1" workbookViewId="0">
      <selection activeCell="J6" sqref="J6"/>
    </sheetView>
  </sheetViews>
  <sheetFormatPr defaultRowHeight="16.899999999999999" x14ac:dyDescent="0.6"/>
  <cols>
    <col min="2" max="2" width="11.375" bestFit="1" customWidth="1"/>
  </cols>
  <sheetData>
    <row r="1" spans="1:6" x14ac:dyDescent="0.6">
      <c r="A1" t="s">
        <v>0</v>
      </c>
      <c r="B1" t="s">
        <v>21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s="3" t="s">
        <v>30</v>
      </c>
      <c r="B2" s="1">
        <v>28300000</v>
      </c>
      <c r="C2" s="6">
        <v>199</v>
      </c>
      <c r="D2">
        <v>106</v>
      </c>
      <c r="E2" s="5">
        <f>(C2*2+C3*2)</f>
        <v>994</v>
      </c>
      <c r="F2" s="5">
        <f>E2*100000000/B2*15</f>
        <v>52685.512367491167</v>
      </c>
    </row>
    <row r="3" spans="1:6" x14ac:dyDescent="0.6">
      <c r="A3" s="4" t="s">
        <v>29</v>
      </c>
      <c r="B3" s="11">
        <v>28300000</v>
      </c>
      <c r="C3" s="12">
        <v>298</v>
      </c>
      <c r="D3" s="13">
        <v>171</v>
      </c>
      <c r="E3" s="14">
        <f>(C3*2+C2*2)</f>
        <v>994</v>
      </c>
      <c r="F3" s="14">
        <f t="shared" ref="F3:F26" si="0">E3*100000000/B3*15</f>
        <v>52685.512367491167</v>
      </c>
    </row>
    <row r="4" spans="1:6" x14ac:dyDescent="0.6">
      <c r="A4" s="15" t="s">
        <v>24</v>
      </c>
      <c r="B4" s="16">
        <v>28300000</v>
      </c>
      <c r="C4" s="17">
        <v>312</v>
      </c>
      <c r="D4" s="17">
        <v>157</v>
      </c>
      <c r="E4" s="18">
        <f>(C4+C3*2+C2)</f>
        <v>1107</v>
      </c>
      <c r="F4" s="18">
        <f t="shared" si="0"/>
        <v>58674.91166077739</v>
      </c>
    </row>
    <row r="5" spans="1:6" x14ac:dyDescent="0.6">
      <c r="A5" s="19" t="s">
        <v>25</v>
      </c>
      <c r="B5" s="16">
        <v>28300000</v>
      </c>
      <c r="C5" s="16">
        <v>137</v>
      </c>
      <c r="D5" s="17">
        <v>110</v>
      </c>
      <c r="E5" s="18">
        <f>(C5+C4*2+C3)</f>
        <v>1059</v>
      </c>
      <c r="F5" s="18">
        <f t="shared" si="0"/>
        <v>56130.742049469962</v>
      </c>
    </row>
    <row r="6" spans="1:6" x14ac:dyDescent="0.6">
      <c r="A6" s="7" t="s">
        <v>26</v>
      </c>
      <c r="B6" s="8">
        <v>28300000</v>
      </c>
      <c r="C6" s="8">
        <v>43</v>
      </c>
      <c r="D6" s="9">
        <f t="shared" ref="D5:D6" si="1">C6*0.7</f>
        <v>30.099999999999998</v>
      </c>
      <c r="E6" s="10">
        <f t="shared" ref="E6:E26" si="2">(C6+C5*2+C4)</f>
        <v>629</v>
      </c>
      <c r="F6" s="10">
        <f t="shared" si="0"/>
        <v>33339.22261484099</v>
      </c>
    </row>
    <row r="7" spans="1:6" x14ac:dyDescent="0.6">
      <c r="A7" s="3" t="s">
        <v>27</v>
      </c>
      <c r="B7" s="1">
        <v>28300000</v>
      </c>
      <c r="C7" s="1">
        <v>100</v>
      </c>
      <c r="D7" s="1">
        <v>77</v>
      </c>
      <c r="E7" s="5">
        <f t="shared" si="2"/>
        <v>323</v>
      </c>
      <c r="F7" s="5">
        <f t="shared" si="0"/>
        <v>17120.141342756186</v>
      </c>
    </row>
    <row r="8" spans="1:6" x14ac:dyDescent="0.6">
      <c r="A8" s="3" t="s">
        <v>28</v>
      </c>
      <c r="B8" s="1">
        <v>28300000</v>
      </c>
      <c r="C8">
        <v>122</v>
      </c>
      <c r="D8">
        <v>88</v>
      </c>
      <c r="E8" s="5">
        <f t="shared" si="2"/>
        <v>365</v>
      </c>
      <c r="F8" s="5">
        <f t="shared" si="0"/>
        <v>19346.289752650177</v>
      </c>
    </row>
    <row r="9" spans="1:6" x14ac:dyDescent="0.6">
      <c r="A9" s="3" t="s">
        <v>3</v>
      </c>
      <c r="B9" s="1">
        <v>28300000</v>
      </c>
      <c r="C9" s="1">
        <v>99</v>
      </c>
      <c r="D9" s="1">
        <v>73</v>
      </c>
      <c r="E9" s="5">
        <f t="shared" si="2"/>
        <v>443</v>
      </c>
      <c r="F9" s="5">
        <f t="shared" si="0"/>
        <v>23480.565371024735</v>
      </c>
    </row>
    <row r="10" spans="1:6" x14ac:dyDescent="0.6">
      <c r="A10" s="3" t="s">
        <v>4</v>
      </c>
      <c r="B10" s="1">
        <v>28300000</v>
      </c>
      <c r="C10" s="1">
        <v>57</v>
      </c>
      <c r="D10" s="1">
        <v>75</v>
      </c>
      <c r="E10" s="5">
        <f t="shared" si="2"/>
        <v>377</v>
      </c>
      <c r="F10" s="5">
        <f t="shared" si="0"/>
        <v>19982.33215547703</v>
      </c>
    </row>
    <row r="11" spans="1:6" x14ac:dyDescent="0.6">
      <c r="A11" s="3" t="s">
        <v>5</v>
      </c>
      <c r="B11" s="1">
        <v>28300000</v>
      </c>
      <c r="C11" s="1">
        <v>-18</v>
      </c>
      <c r="D11" s="1">
        <v>-25</v>
      </c>
      <c r="E11" s="5">
        <f t="shared" si="2"/>
        <v>195</v>
      </c>
      <c r="F11" s="5">
        <f t="shared" si="0"/>
        <v>10335.689045936395</v>
      </c>
    </row>
    <row r="12" spans="1:6" x14ac:dyDescent="0.6">
      <c r="A12" s="3" t="s">
        <v>6</v>
      </c>
      <c r="B12" s="1">
        <v>28300000</v>
      </c>
      <c r="C12" s="1">
        <v>9</v>
      </c>
      <c r="D12" s="1">
        <v>-9</v>
      </c>
      <c r="E12" s="5">
        <f t="shared" si="2"/>
        <v>30</v>
      </c>
      <c r="F12" s="5">
        <f t="shared" si="0"/>
        <v>1590.1060070671379</v>
      </c>
    </row>
    <row r="13" spans="1:6" x14ac:dyDescent="0.6">
      <c r="A13" s="3" t="s">
        <v>7</v>
      </c>
      <c r="B13" s="1">
        <v>28300000</v>
      </c>
      <c r="C13" s="1">
        <v>-18</v>
      </c>
      <c r="D13" s="1">
        <v>-13</v>
      </c>
      <c r="E13" s="5">
        <f t="shared" si="2"/>
        <v>-18</v>
      </c>
      <c r="F13" s="5">
        <f t="shared" si="0"/>
        <v>-954.06360424028264</v>
      </c>
    </row>
    <row r="14" spans="1:6" x14ac:dyDescent="0.6">
      <c r="A14" s="3" t="s">
        <v>8</v>
      </c>
      <c r="B14" s="1">
        <v>28300000</v>
      </c>
      <c r="C14" s="1">
        <v>-29</v>
      </c>
      <c r="D14" s="1">
        <v>-27</v>
      </c>
      <c r="E14" s="5">
        <f t="shared" si="2"/>
        <v>-56</v>
      </c>
      <c r="F14" s="5">
        <f t="shared" si="0"/>
        <v>-2968.1978798586574</v>
      </c>
    </row>
    <row r="15" spans="1:6" x14ac:dyDescent="0.6">
      <c r="A15" s="3" t="s">
        <v>9</v>
      </c>
      <c r="B15" s="1">
        <v>28300000</v>
      </c>
      <c r="C15" s="1">
        <v>26</v>
      </c>
      <c r="D15" s="1">
        <v>3</v>
      </c>
      <c r="E15" s="5">
        <f t="shared" si="2"/>
        <v>-50</v>
      </c>
      <c r="F15" s="5">
        <f t="shared" si="0"/>
        <v>-2650.1766784452298</v>
      </c>
    </row>
    <row r="16" spans="1:6" x14ac:dyDescent="0.6">
      <c r="A16" t="s">
        <v>10</v>
      </c>
      <c r="B16" s="1">
        <v>28300000</v>
      </c>
      <c r="C16" s="1">
        <v>56</v>
      </c>
      <c r="D16" s="1">
        <v>39</v>
      </c>
      <c r="E16" s="5">
        <f t="shared" si="2"/>
        <v>79</v>
      </c>
      <c r="F16" s="5">
        <f t="shared" si="0"/>
        <v>4187.2791519434631</v>
      </c>
    </row>
    <row r="17" spans="1:6" x14ac:dyDescent="0.6">
      <c r="A17" t="s">
        <v>11</v>
      </c>
      <c r="B17" s="1">
        <v>28300000</v>
      </c>
      <c r="C17" s="1">
        <v>9</v>
      </c>
      <c r="D17">
        <v>5</v>
      </c>
      <c r="E17" s="5">
        <f t="shared" si="2"/>
        <v>147</v>
      </c>
      <c r="F17" s="5">
        <f t="shared" si="0"/>
        <v>7791.5194346289754</v>
      </c>
    </row>
    <row r="18" spans="1:6" x14ac:dyDescent="0.6">
      <c r="A18" t="s">
        <v>12</v>
      </c>
      <c r="B18" s="1">
        <v>28300000</v>
      </c>
      <c r="C18" s="1">
        <v>-46</v>
      </c>
      <c r="D18" s="1">
        <v>9</v>
      </c>
      <c r="E18" s="5">
        <f t="shared" si="2"/>
        <v>28</v>
      </c>
      <c r="F18" s="5">
        <f t="shared" si="0"/>
        <v>1484.0989399293287</v>
      </c>
    </row>
    <row r="19" spans="1:6" x14ac:dyDescent="0.6">
      <c r="A19" t="s">
        <v>13</v>
      </c>
      <c r="B19" s="1">
        <v>28300000</v>
      </c>
      <c r="C19" s="1">
        <v>52</v>
      </c>
      <c r="D19" s="1">
        <v>48</v>
      </c>
      <c r="E19" s="5">
        <f t="shared" si="2"/>
        <v>-31</v>
      </c>
      <c r="F19" s="5">
        <f t="shared" si="0"/>
        <v>-1643.1095406360423</v>
      </c>
    </row>
    <row r="20" spans="1:6" x14ac:dyDescent="0.6">
      <c r="A20" t="s">
        <v>14</v>
      </c>
      <c r="B20" s="1">
        <v>28300000</v>
      </c>
      <c r="C20" s="1">
        <v>55</v>
      </c>
      <c r="D20" s="1">
        <v>45</v>
      </c>
      <c r="E20" s="5">
        <f t="shared" si="2"/>
        <v>113</v>
      </c>
      <c r="F20" s="5">
        <f t="shared" si="0"/>
        <v>5989.3992932862193</v>
      </c>
    </row>
    <row r="21" spans="1:6" x14ac:dyDescent="0.6">
      <c r="A21" t="s">
        <v>15</v>
      </c>
      <c r="B21" s="1">
        <v>28300000</v>
      </c>
      <c r="C21" s="1">
        <v>51</v>
      </c>
      <c r="D21" s="1">
        <v>50</v>
      </c>
      <c r="E21" s="5">
        <f t="shared" si="2"/>
        <v>213</v>
      </c>
      <c r="F21" s="5">
        <f t="shared" si="0"/>
        <v>11289.752650176677</v>
      </c>
    </row>
    <row r="22" spans="1:6" x14ac:dyDescent="0.6">
      <c r="A22" t="s">
        <v>16</v>
      </c>
      <c r="B22" s="1">
        <v>28300000</v>
      </c>
      <c r="C22" s="1">
        <v>-25</v>
      </c>
      <c r="D22" s="1">
        <v>-12</v>
      </c>
      <c r="E22" s="5">
        <f t="shared" si="2"/>
        <v>132</v>
      </c>
      <c r="F22" s="5">
        <f t="shared" si="0"/>
        <v>6996.4664310954067</v>
      </c>
    </row>
    <row r="23" spans="1:6" x14ac:dyDescent="0.6">
      <c r="A23" t="s">
        <v>17</v>
      </c>
      <c r="B23" s="1">
        <v>28300000</v>
      </c>
      <c r="C23" s="1">
        <v>38</v>
      </c>
      <c r="D23" s="1">
        <v>29</v>
      </c>
      <c r="E23" s="5">
        <f t="shared" si="2"/>
        <v>39</v>
      </c>
      <c r="F23" s="5">
        <f t="shared" si="0"/>
        <v>2067.1378091872793</v>
      </c>
    </row>
    <row r="24" spans="1:6" x14ac:dyDescent="0.6">
      <c r="A24" t="s">
        <v>18</v>
      </c>
      <c r="B24" s="1">
        <v>28300000</v>
      </c>
      <c r="C24" s="1">
        <v>113</v>
      </c>
      <c r="D24" s="1">
        <v>89</v>
      </c>
      <c r="E24" s="5">
        <f t="shared" si="2"/>
        <v>164</v>
      </c>
      <c r="F24" s="5">
        <f t="shared" si="0"/>
        <v>8692.579505300353</v>
      </c>
    </row>
    <row r="25" spans="1:6" x14ac:dyDescent="0.6">
      <c r="A25" t="s">
        <v>19</v>
      </c>
      <c r="B25" s="1">
        <v>28300000</v>
      </c>
      <c r="C25" s="1">
        <v>40</v>
      </c>
      <c r="D25" s="1">
        <v>45</v>
      </c>
      <c r="E25" s="5">
        <f t="shared" si="2"/>
        <v>304</v>
      </c>
      <c r="F25" s="5">
        <f t="shared" si="0"/>
        <v>16113.074204946995</v>
      </c>
    </row>
    <row r="26" spans="1:6" x14ac:dyDescent="0.6">
      <c r="A26" t="s">
        <v>20</v>
      </c>
      <c r="B26" s="1">
        <v>28300000</v>
      </c>
      <c r="C26" s="1">
        <v>-15</v>
      </c>
      <c r="D26" s="1">
        <v>-31</v>
      </c>
      <c r="E26" s="5">
        <f t="shared" si="2"/>
        <v>178</v>
      </c>
      <c r="F26" s="5">
        <f t="shared" si="0"/>
        <v>9434.6289752650191</v>
      </c>
    </row>
    <row r="27" spans="1:6" x14ac:dyDescent="0.6">
      <c r="B27" s="1"/>
      <c r="C27" s="1"/>
      <c r="D27" s="1"/>
      <c r="E27" s="5"/>
      <c r="F27" s="5"/>
    </row>
    <row r="28" spans="1:6" x14ac:dyDescent="0.6">
      <c r="B28" s="1"/>
      <c r="C28" s="1"/>
      <c r="F28" s="2"/>
    </row>
    <row r="29" spans="1:6" x14ac:dyDescent="0.6">
      <c r="B29" s="1"/>
      <c r="C29" s="1"/>
      <c r="D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디아이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2026-08-04T04:34:26Z</dcterms:modified>
</cp:coreProperties>
</file>