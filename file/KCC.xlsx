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CB2DD23-2B52-47FB-82E6-88B3B2C50E2B}" xr6:coauthVersionLast="47" xr6:coauthVersionMax="47" xr10:uidLastSave="{00000000-0000-0000-0000-000000000000}"/>
  <bookViews>
    <workbookView xWindow="-98" yWindow="-98" windowWidth="28996" windowHeight="15675" xr2:uid="{B4A2AFA2-309D-402A-8814-206C193F4B61}"/>
  </bookViews>
  <sheets>
    <sheet name="KC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E3" i="1"/>
  <c r="F3" i="1" s="1"/>
  <c r="E2" i="1"/>
  <c r="F2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F6" i="1" s="1"/>
  <c r="E5" i="1"/>
  <c r="F5" i="1" s="1"/>
  <c r="E4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<sst xmlns="http://schemas.openxmlformats.org/spreadsheetml/2006/main" count="28" uniqueCount="28">
  <si>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</si>
  <si>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</si>
  <si>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</si>
  <si>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</si>
  <si>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</si>
  <si>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</si>
  <si>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</si>
  <si>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</si>
  <si>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</si>
  <si>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</si>
  <si>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</si>
  <si>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</si>
  <si>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</si>
  <si>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</si>
  <si>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</si>
  <si>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</si>
  <si>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</si>
  <si>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</si>
  <si>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</si>
  <si>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</si>
  <si>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</si>
  <si>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4Q_income</t>
  </si>
  <si>
    <t>목표가</t>
  </si>
  <si>
    <t>2025.2Q</t>
  </si>
  <si>
    <t>2025.3Q</t>
    <phoneticPr fontId="18" type="noConversion"/>
  </si>
  <si>
    <t>2025.4Q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</si>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</sst>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3" tint="0.499984740745262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14" fillId="0" borderId="0" xfId="0" applyNumberFormat="1" applyFont="1">
      <alignment vertical="center"/>
    </xf>
    <xf numFmtId="3" fontId="19" fillId="0" borderId="0" xfId="0" applyNumberFormat="1" applyFont="1">
      <alignment vertical="center"/>
    </xf>
    <xf numFmtId="3" fontId="14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F6A8-5540-41F3-90A1-95981879DC13}">
  <dimension ref="A1:F27"/>
  <sheetViews>
    <sheetView tabSelected="1" workbookViewId="0">
      <selection activeCell="E25" sqref="E25"/>
    </sheetView>
  </sheetViews>
  <sheetFormatPr defaultRowHeight="16.899999999999999" x14ac:dyDescent="0.6"/>
  <cols>
    <col min="2" max="2" width="11" bestFit="1" customWidth="1"/>
  </cols>
  <sheetData>
    <row r="1" spans="1:6" x14ac:dyDescent="0.6">
      <c r="A1" t="s">
        <v>0</v>
      </c>
      <c r="B1" t="s">
        <v>20</v>
      </c>
      <c r="C1" t="s">
        <v>1</v>
      </c>
      <c r="D1" t="s">
        <v>2</v>
      </c>
      <c r="E1" t="s">
        <v>21</v>
      </c>
      <c r="F1" t="s">
        <v>22</v>
      </c>
    </row>
    <row r="2" spans="1:6" x14ac:dyDescent="0.6">
      <c r="A2" t="s">
        <v>26</v>
      </c>
      <c r="B2" s="1">
        <v>8886471</v>
      </c>
      <c r="C2" s="6">
        <v>1351</v>
      </c>
      <c r="D2" s="4">
        <v>721</v>
      </c>
      <c r="E2" s="1">
        <f>C2*4</f>
        <v>5404</v>
      </c>
      <c r="F2" s="1">
        <f>E2*100000000/B2*5</f>
        <v>304057.70749716053</v>
      </c>
    </row>
    <row r="3" spans="1:6" x14ac:dyDescent="0.6">
      <c r="A3" t="s">
        <v>27</v>
      </c>
      <c r="B3" s="1">
        <v>8886471</v>
      </c>
      <c r="C3" s="6">
        <v>1135</v>
      </c>
      <c r="D3" s="4">
        <v>3007</v>
      </c>
      <c r="E3" s="1">
        <f>C3*2+C2*2</f>
        <v>4972</v>
      </c>
      <c r="F3" s="1">
        <f t="shared" ref="F3:F23" si="0">E3*100000000/B3*5</f>
        <v>279751.09579494491</v>
      </c>
    </row>
    <row r="4" spans="1:6" x14ac:dyDescent="0.6">
      <c r="A4" t="s">
        <v>25</v>
      </c>
      <c r="B4" s="1">
        <v>8886471</v>
      </c>
      <c r="C4" s="4">
        <v>775</v>
      </c>
      <c r="D4" s="4">
        <v>5116</v>
      </c>
      <c r="E4" s="1">
        <f>C4*4</f>
        <v>3100</v>
      </c>
      <c r="F4" s="1">
        <f t="shared" si="0"/>
        <v>174422.44508534379</v>
      </c>
    </row>
    <row r="5" spans="1:6" x14ac:dyDescent="0.6">
      <c r="A5" t="s">
        <v>24</v>
      </c>
      <c r="B5" s="1">
        <v>8886471</v>
      </c>
      <c r="C5" s="5">
        <v>1173</v>
      </c>
      <c r="D5" s="5">
        <v>3263</v>
      </c>
      <c r="E5" s="1">
        <f>C5*2+C4*2</f>
        <v>3896</v>
      </c>
      <c r="F5" s="1">
        <f t="shared" si="0"/>
        <v>219209.62775887077</v>
      </c>
    </row>
    <row r="6" spans="1:6" x14ac:dyDescent="0.6">
      <c r="A6" t="s">
        <v>23</v>
      </c>
      <c r="B6" s="1">
        <v>8886471</v>
      </c>
      <c r="C6" s="1">
        <v>1404</v>
      </c>
      <c r="D6" s="1">
        <v>8933</v>
      </c>
      <c r="E6" s="1">
        <f>C6+C5*2+C4</f>
        <v>4525</v>
      </c>
      <c r="F6" s="1">
        <f t="shared" si="0"/>
        <v>254600.50451973567</v>
      </c>
    </row>
    <row r="7" spans="1:6" x14ac:dyDescent="0.6">
      <c r="A7" t="s">
        <v>3</v>
      </c>
      <c r="B7" s="1">
        <v>8886471</v>
      </c>
      <c r="C7" s="1">
        <v>1034</v>
      </c>
      <c r="D7" s="1">
        <v>441</v>
      </c>
      <c r="E7" s="1">
        <f t="shared" ref="E7:E23" si="1">C7+C6*2+C5</f>
        <v>5015</v>
      </c>
      <c r="F7" s="1">
        <f t="shared" si="0"/>
        <v>282170.50390419323</v>
      </c>
    </row>
    <row r="8" spans="1:6" x14ac:dyDescent="0.6">
      <c r="A8" t="s">
        <v>4</v>
      </c>
      <c r="B8" s="1">
        <v>8886471</v>
      </c>
      <c r="C8" s="1">
        <v>983</v>
      </c>
      <c r="D8" s="1">
        <v>-865</v>
      </c>
      <c r="E8" s="1">
        <f t="shared" si="1"/>
        <v>4455</v>
      </c>
      <c r="F8" s="1">
        <f t="shared" si="0"/>
        <v>250661.93317909888</v>
      </c>
    </row>
    <row r="9" spans="1:6" x14ac:dyDescent="0.6">
      <c r="A9" t="s">
        <v>5</v>
      </c>
      <c r="B9" s="1">
        <v>8886471</v>
      </c>
      <c r="C9" s="1">
        <v>1253</v>
      </c>
      <c r="D9" s="1">
        <v>-423</v>
      </c>
      <c r="E9" s="1">
        <f t="shared" si="1"/>
        <v>4253</v>
      </c>
      <c r="F9" s="1">
        <f t="shared" si="0"/>
        <v>239296.34159611841</v>
      </c>
    </row>
    <row r="10" spans="1:6" x14ac:dyDescent="0.6">
      <c r="A10" t="s">
        <v>6</v>
      </c>
      <c r="B10" s="1">
        <v>8886471</v>
      </c>
      <c r="C10" s="1">
        <v>1406</v>
      </c>
      <c r="D10" s="1">
        <v>-328</v>
      </c>
      <c r="E10" s="1">
        <f t="shared" si="1"/>
        <v>4895</v>
      </c>
      <c r="F10" s="1">
        <f t="shared" si="0"/>
        <v>275418.66732024448</v>
      </c>
    </row>
    <row r="11" spans="1:6" x14ac:dyDescent="0.6">
      <c r="A11" t="s">
        <v>7</v>
      </c>
      <c r="B11" s="1">
        <v>8886471</v>
      </c>
      <c r="C11" s="1">
        <v>1069</v>
      </c>
      <c r="D11" s="1">
        <v>4549</v>
      </c>
      <c r="E11" s="1">
        <f t="shared" si="1"/>
        <v>5134</v>
      </c>
      <c r="F11" s="1">
        <f t="shared" si="0"/>
        <v>288866.0751832758</v>
      </c>
    </row>
    <row r="12" spans="1:6" x14ac:dyDescent="0.6">
      <c r="A12" t="s">
        <v>8</v>
      </c>
      <c r="B12" s="1">
        <v>8886471</v>
      </c>
      <c r="C12" s="1">
        <v>579</v>
      </c>
      <c r="D12" s="1">
        <v>294</v>
      </c>
      <c r="E12" s="1">
        <f t="shared" si="1"/>
        <v>4123</v>
      </c>
      <c r="F12" s="1">
        <f t="shared" si="0"/>
        <v>231981.85196350722</v>
      </c>
    </row>
    <row r="13" spans="1:6" x14ac:dyDescent="0.6">
      <c r="A13" t="s">
        <v>9</v>
      </c>
      <c r="B13" s="1">
        <v>8886471</v>
      </c>
      <c r="C13" s="1">
        <v>884</v>
      </c>
      <c r="D13" s="1">
        <v>112</v>
      </c>
      <c r="E13" s="1">
        <f t="shared" si="1"/>
        <v>3111</v>
      </c>
      <c r="F13" s="1">
        <f t="shared" si="0"/>
        <v>175041.36343887245</v>
      </c>
    </row>
    <row r="14" spans="1:6" x14ac:dyDescent="0.6">
      <c r="A14" t="s">
        <v>10</v>
      </c>
      <c r="B14" s="1">
        <v>8886471</v>
      </c>
      <c r="C14" s="1">
        <v>904</v>
      </c>
      <c r="D14" s="1">
        <v>673</v>
      </c>
      <c r="E14" s="1">
        <f t="shared" si="1"/>
        <v>3251</v>
      </c>
      <c r="F14" s="1">
        <f t="shared" si="0"/>
        <v>182918.50612014602</v>
      </c>
    </row>
    <row r="15" spans="1:6" x14ac:dyDescent="0.6">
      <c r="A15" t="s">
        <v>11</v>
      </c>
      <c r="B15" s="1">
        <v>8886471</v>
      </c>
      <c r="C15" s="1">
        <v>758</v>
      </c>
      <c r="D15" s="1">
        <v>-155</v>
      </c>
      <c r="E15" s="1">
        <f t="shared" si="1"/>
        <v>3450</v>
      </c>
      <c r="F15" s="1">
        <f t="shared" si="0"/>
        <v>194115.30178852775</v>
      </c>
    </row>
    <row r="16" spans="1:6" x14ac:dyDescent="0.6">
      <c r="A16" t="s">
        <v>12</v>
      </c>
      <c r="B16" s="1">
        <v>8886471</v>
      </c>
      <c r="C16" s="1">
        <v>576</v>
      </c>
      <c r="D16" s="1">
        <v>796</v>
      </c>
      <c r="E16" s="1">
        <f t="shared" si="1"/>
        <v>2996</v>
      </c>
      <c r="F16" s="1">
        <f t="shared" si="0"/>
        <v>168570.85337925484</v>
      </c>
    </row>
    <row r="17" spans="1:6" x14ac:dyDescent="0.6">
      <c r="A17" t="s">
        <v>13</v>
      </c>
      <c r="B17" s="1">
        <v>8886471</v>
      </c>
      <c r="C17" s="1">
        <v>964</v>
      </c>
      <c r="D17" s="1">
        <v>-2653</v>
      </c>
      <c r="E17" s="1">
        <f t="shared" si="1"/>
        <v>2874</v>
      </c>
      <c r="F17" s="1">
        <f t="shared" si="0"/>
        <v>161706.48618557357</v>
      </c>
    </row>
    <row r="18" spans="1:6" x14ac:dyDescent="0.6">
      <c r="A18" t="s">
        <v>14</v>
      </c>
      <c r="B18" s="1">
        <v>8886471</v>
      </c>
      <c r="C18" s="1">
        <v>1642</v>
      </c>
      <c r="D18" s="1">
        <v>1822</v>
      </c>
      <c r="E18" s="1">
        <f t="shared" si="1"/>
        <v>4146</v>
      </c>
      <c r="F18" s="1">
        <f t="shared" si="0"/>
        <v>233275.95397543075</v>
      </c>
    </row>
    <row r="19" spans="1:6" x14ac:dyDescent="0.6">
      <c r="A19" t="s">
        <v>15</v>
      </c>
      <c r="B19" s="1">
        <v>8886471</v>
      </c>
      <c r="C19" s="1">
        <v>1494</v>
      </c>
      <c r="D19" s="1">
        <v>322</v>
      </c>
      <c r="E19" s="1">
        <f t="shared" si="1"/>
        <v>5742</v>
      </c>
      <c r="F19" s="1">
        <f t="shared" si="0"/>
        <v>323075.38054194965</v>
      </c>
    </row>
    <row r="20" spans="1:6" x14ac:dyDescent="0.6">
      <c r="A20" t="s">
        <v>16</v>
      </c>
      <c r="B20" s="1">
        <v>8886471</v>
      </c>
      <c r="C20" s="1">
        <v>744</v>
      </c>
      <c r="D20" s="1">
        <v>-2322</v>
      </c>
      <c r="E20" s="1">
        <f t="shared" si="1"/>
        <v>5374</v>
      </c>
      <c r="F20" s="1">
        <f t="shared" si="0"/>
        <v>302369.74835117336</v>
      </c>
    </row>
    <row r="21" spans="1:6" x14ac:dyDescent="0.6">
      <c r="A21" t="s">
        <v>17</v>
      </c>
      <c r="B21" s="1">
        <v>8886471</v>
      </c>
      <c r="C21" s="1">
        <v>1200</v>
      </c>
      <c r="D21" s="1">
        <v>-2324</v>
      </c>
      <c r="E21" s="1">
        <f t="shared" si="1"/>
        <v>4182</v>
      </c>
      <c r="F21" s="1">
        <f t="shared" si="0"/>
        <v>235301.50495061537</v>
      </c>
    </row>
    <row r="22" spans="1:6" x14ac:dyDescent="0.6">
      <c r="A22" t="s">
        <v>18</v>
      </c>
      <c r="B22" s="1">
        <v>8886471</v>
      </c>
      <c r="C22" s="1">
        <v>1170</v>
      </c>
      <c r="D22" s="1">
        <v>3809</v>
      </c>
      <c r="E22" s="1">
        <f t="shared" si="1"/>
        <v>4314</v>
      </c>
      <c r="F22" s="1">
        <f t="shared" si="0"/>
        <v>242728.52519295906</v>
      </c>
    </row>
    <row r="23" spans="1:6" x14ac:dyDescent="0.6">
      <c r="A23" t="s">
        <v>19</v>
      </c>
      <c r="B23" s="1">
        <v>8886471</v>
      </c>
      <c r="C23" s="1">
        <v>774</v>
      </c>
      <c r="D23" s="1">
        <v>304</v>
      </c>
      <c r="E23" s="1">
        <f t="shared" si="1"/>
        <v>4314</v>
      </c>
      <c r="F23" s="1">
        <f t="shared" si="0"/>
        <v>242728.52519295906</v>
      </c>
    </row>
    <row r="24" spans="1:6" x14ac:dyDescent="0.6">
      <c r="B24" s="1"/>
      <c r="C24" s="3"/>
      <c r="D24" s="1"/>
      <c r="E24" s="1"/>
      <c r="F24" s="2"/>
    </row>
    <row r="25" spans="1:6" x14ac:dyDescent="0.6">
      <c r="B25" s="1"/>
      <c r="C25" s="3"/>
      <c r="D25" s="1"/>
      <c r="E25" s="1"/>
      <c r="F25" s="2"/>
    </row>
    <row r="26" spans="1:6" x14ac:dyDescent="0.6">
      <c r="B26" s="1"/>
      <c r="C26" s="3"/>
      <c r="D26" s="1"/>
      <c r="F26" s="2"/>
    </row>
    <row r="27" spans="1:6" x14ac:dyDescent="0.6">
      <c r="B27" s="1"/>
      <c r="C27" s="3"/>
      <c r="D2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2025-02-02T03:12:20Z</dcterms:created>
  <dcterms:modified xsi:type="dcterms:W3CDTF">2026-02-18T15:14:16Z</dcterms:modified>
</cp:coreProperties>
</file>