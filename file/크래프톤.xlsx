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0E3A849F-DB4A-4D82-8127-FEAE3495B686}" xr6:coauthVersionLast="47" xr6:coauthVersionMax="47" xr10:uidLastSave="{00000000-0000-0000-0000-000000000000}"/>
  <bookViews>
    <workbookView xWindow="28702" yWindow="-98" windowWidth="28995" windowHeight="16395" xr2:uid="{C05637EF-894A-4FAC-9F47-0179780C4CC4}"/>
  </bookViews>
  <sheets>
    <sheet name="크래프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F9" i="1" s="1"/>
  <c r="E10" i="1"/>
  <c r="F10" i="1" s="1"/>
  <c r="E11" i="1"/>
  <c r="E12" i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E20" i="1"/>
  <c r="E21" i="1"/>
  <c r="E22" i="1"/>
  <c r="E23" i="1"/>
  <c r="F23" i="1" s="1"/>
  <c r="E2" i="1"/>
  <c r="F2" i="1" s="1"/>
  <c r="E3" i="1"/>
  <c r="F3" i="1" s="1"/>
  <c r="F5" i="1"/>
  <c r="F6" i="1"/>
  <c r="F7" i="1"/>
  <c r="F8" i="1"/>
  <c r="F11" i="1"/>
  <c r="F12" i="1"/>
  <c r="F19" i="1"/>
  <c r="F20" i="1"/>
  <c r="F21" i="1"/>
  <c r="F22" i="1"/>
  <c r="E4" i="1"/>
  <c r="F4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<sst xmlns="http://schemas.openxmlformats.org/spreadsheetml/2006/main" count="28" uniqueCount="28">
  <si>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</si>
  <si>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</si>
  <si>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</si>
  <si>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</si>
  <si>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</si>
  <si>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</si>
  <si>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</si>
  <si>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</si>
  <si>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</si>
  <si>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</si>
  <si>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</si>
  <si>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</si>
  <si>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</si>
  <si>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</si>
  <si>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</si>
  <si>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</si>
  <si>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</si>
  <si>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</si>
  <si>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</si>
  <si>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상장주식수</t>
  </si>
  <si>
    <t>2025.2Q</t>
    <phoneticPr fontId="18" type="noConversion"/>
  </si>
  <si>
    <t>4Q_income</t>
  </si>
  <si>
    <t>목표가</t>
  </si>
  <si>
    <t>2025.4Q</t>
    <phoneticPr fontId="18" type="noConversion"/>
  </si>
  <si>
    <t>2025.3Q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</si>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</sst>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14" fillId="0" borderId="0" xfId="42" applyNumberFormat="1" applyFont="1">
      <alignment vertical="center"/>
    </xf>
    <xf numFmtId="176" fontId="0" fillId="0" borderId="0" xfId="42" applyNumberFormat="1" applyFont="1">
      <alignment vertical="center"/>
    </xf>
    <xf numFmtId="176" fontId="14" fillId="0" borderId="0" xfId="42" applyNumberFormat="1" applyFont="1" applyFill="1">
      <alignment vertical="center"/>
    </xf>
    <xf numFmtId="176" fontId="0" fillId="0" borderId="0" xfId="42" applyNumberFormat="1" applyFont="1" applyFill="1">
      <alignment vertical="center"/>
    </xf>
    <xf numFmtId="176" fontId="19" fillId="0" borderId="0" xfId="42" applyNumberFormat="1" applyFont="1" applyFill="1">
      <alignment vertical="center"/>
    </xf>
    <xf numFmtId="176" fontId="19" fillId="0" borderId="0" xfId="42" applyNumberFormat="1" applyFont="1">
      <alignment vertical="center"/>
    </xf>
    <xf numFmtId="176" fontId="14" fillId="33" borderId="0" xfId="42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A7B-35C4-494A-A46D-5A1400A4E47E}">
  <dimension ref="A1:F28"/>
  <sheetViews>
    <sheetView tabSelected="1" workbookViewId="0">
      <selection activeCell="F2" sqref="F2:F23"/>
    </sheetView>
  </sheetViews>
  <sheetFormatPr defaultRowHeight="16.899999999999999"/>
  <cols>
    <col min="2" max="2" width="10.25" bestFit="1" customWidth="1"/>
  </cols>
  <sheetData>
    <row r="1" spans="1:6">
      <c r="A1" t="s">
        <v>0</v>
      </c>
      <c r="B1" t="s">
        <v>19</v>
      </c>
      <c r="C1" t="s">
        <v>1</v>
      </c>
      <c r="D1" t="s">
        <v>2</v>
      </c>
      <c r="E1" t="s">
        <v>21</v>
      </c>
      <c r="F1" t="s">
        <v>22</v>
      </c>
    </row>
    <row r="2" spans="1:6">
      <c r="A2" t="s">
        <v>27</v>
      </c>
      <c r="B2" s="1">
        <v>46132393</v>
      </c>
      <c r="C2" s="2">
        <v>3829</v>
      </c>
      <c r="D2" s="2">
        <v>3232</v>
      </c>
      <c r="E2" s="3">
        <f>(D2*2+D3*2)</f>
        <v>11306</v>
      </c>
      <c r="F2" s="3">
        <f>E2*100000000/B2*15</f>
        <v>367615.87459813757</v>
      </c>
    </row>
    <row r="3" spans="1:6">
      <c r="A3" t="s">
        <v>26</v>
      </c>
      <c r="B3" s="1">
        <v>46132393</v>
      </c>
      <c r="C3" s="4">
        <v>3091</v>
      </c>
      <c r="D3" s="4">
        <v>2421</v>
      </c>
      <c r="E3" s="5">
        <f>(D3*2+D2*2)</f>
        <v>11306</v>
      </c>
      <c r="F3" s="3">
        <f t="shared" ref="F3:F26" si="0">E3*100000000/B3*15</f>
        <v>367615.87459813757</v>
      </c>
    </row>
    <row r="4" spans="1:6">
      <c r="A4" t="s">
        <v>25</v>
      </c>
      <c r="B4" s="1">
        <v>46132393</v>
      </c>
      <c r="C4" s="8">
        <v>4098</v>
      </c>
      <c r="D4" s="6">
        <v>3335</v>
      </c>
      <c r="E4" s="5">
        <f>(D4+D3*2+D2)</f>
        <v>11409</v>
      </c>
      <c r="F4" s="3">
        <f t="shared" si="0"/>
        <v>370964.9313010925</v>
      </c>
    </row>
    <row r="5" spans="1:6">
      <c r="A5" t="s">
        <v>23</v>
      </c>
      <c r="B5" s="1">
        <v>46132393</v>
      </c>
      <c r="C5" s="6">
        <v>24</v>
      </c>
      <c r="D5" s="6">
        <v>-227</v>
      </c>
      <c r="E5" s="5">
        <f t="shared" ref="E5:E23" si="1">(D5+D4*2+D3)</f>
        <v>8864</v>
      </c>
      <c r="F5" s="3">
        <f t="shared" si="0"/>
        <v>288213.96713584749</v>
      </c>
    </row>
    <row r="6" spans="1:6">
      <c r="A6" t="s">
        <v>24</v>
      </c>
      <c r="B6" s="1">
        <v>46132393</v>
      </c>
      <c r="C6" s="7">
        <v>3486</v>
      </c>
      <c r="D6" s="7">
        <v>3694</v>
      </c>
      <c r="E6" s="5">
        <f t="shared" si="1"/>
        <v>6575</v>
      </c>
      <c r="F6" s="3">
        <f t="shared" si="0"/>
        <v>213786.87205755833</v>
      </c>
    </row>
    <row r="7" spans="1:6">
      <c r="A7" t="s">
        <v>20</v>
      </c>
      <c r="B7" s="1">
        <v>46132393</v>
      </c>
      <c r="C7" s="7">
        <v>2461</v>
      </c>
      <c r="D7" s="7">
        <v>155</v>
      </c>
      <c r="E7" s="5">
        <f t="shared" si="1"/>
        <v>7316</v>
      </c>
      <c r="F7" s="3">
        <f t="shared" si="0"/>
        <v>237880.57125066113</v>
      </c>
    </row>
    <row r="8" spans="1:6">
      <c r="A8" t="s">
        <v>3</v>
      </c>
      <c r="B8" s="1">
        <v>46132393</v>
      </c>
      <c r="C8" s="7">
        <v>4573</v>
      </c>
      <c r="D8" s="7">
        <v>3715</v>
      </c>
      <c r="E8" s="5">
        <f t="shared" si="1"/>
        <v>7719</v>
      </c>
      <c r="F8" s="3">
        <f t="shared" si="0"/>
        <v>250984.16203989246</v>
      </c>
    </row>
    <row r="9" spans="1:6">
      <c r="A9" t="s">
        <v>4</v>
      </c>
      <c r="B9" s="1">
        <v>46132393</v>
      </c>
      <c r="C9" s="3">
        <v>2155</v>
      </c>
      <c r="D9" s="3">
        <v>4912</v>
      </c>
      <c r="E9" s="5">
        <f t="shared" si="1"/>
        <v>12497</v>
      </c>
      <c r="F9" s="3">
        <f t="shared" si="0"/>
        <v>406341.37492065504</v>
      </c>
    </row>
    <row r="10" spans="1:6">
      <c r="A10" t="s">
        <v>5</v>
      </c>
      <c r="B10" s="1">
        <v>46132393</v>
      </c>
      <c r="C10" s="3">
        <v>3244</v>
      </c>
      <c r="D10" s="3">
        <v>1214</v>
      </c>
      <c r="E10" s="5">
        <f t="shared" si="1"/>
        <v>14753</v>
      </c>
      <c r="F10" s="3">
        <f t="shared" si="0"/>
        <v>479695.47124945372</v>
      </c>
    </row>
    <row r="11" spans="1:6">
      <c r="A11" t="s">
        <v>6</v>
      </c>
      <c r="B11" s="1">
        <v>46132393</v>
      </c>
      <c r="C11" s="3">
        <v>3321</v>
      </c>
      <c r="D11" s="3">
        <v>3414</v>
      </c>
      <c r="E11" s="5">
        <f t="shared" si="1"/>
        <v>10754</v>
      </c>
      <c r="F11" s="3">
        <f t="shared" si="0"/>
        <v>349667.53187938896</v>
      </c>
    </row>
    <row r="12" spans="1:6">
      <c r="A12" t="s">
        <v>7</v>
      </c>
      <c r="B12" s="1">
        <v>46132393</v>
      </c>
      <c r="C12" s="3">
        <v>3105</v>
      </c>
      <c r="D12" s="3">
        <v>3486</v>
      </c>
      <c r="E12" s="5">
        <f t="shared" si="1"/>
        <v>11528</v>
      </c>
      <c r="F12" s="3">
        <f t="shared" si="0"/>
        <v>374834.22982198215</v>
      </c>
    </row>
    <row r="13" spans="1:6">
      <c r="A13" t="s">
        <v>8</v>
      </c>
      <c r="B13" s="1">
        <v>46132393</v>
      </c>
      <c r="C13" s="3">
        <v>1643</v>
      </c>
      <c r="D13" s="3">
        <v>-132</v>
      </c>
      <c r="E13" s="5">
        <f t="shared" si="1"/>
        <v>10254</v>
      </c>
      <c r="F13" s="3">
        <f t="shared" si="0"/>
        <v>333409.97506892827</v>
      </c>
    </row>
    <row r="14" spans="1:6">
      <c r="A14" t="s">
        <v>9</v>
      </c>
      <c r="B14" s="1">
        <v>46132393</v>
      </c>
      <c r="C14" s="3">
        <v>1893</v>
      </c>
      <c r="D14" s="3">
        <v>2116</v>
      </c>
      <c r="E14" s="5">
        <f t="shared" si="1"/>
        <v>5338</v>
      </c>
      <c r="F14" s="3">
        <f t="shared" si="0"/>
        <v>173565.67650847853</v>
      </c>
    </row>
    <row r="15" spans="1:6">
      <c r="A15" t="s">
        <v>10</v>
      </c>
      <c r="B15" s="1">
        <v>46132393</v>
      </c>
      <c r="C15" s="3">
        <v>1315</v>
      </c>
      <c r="D15" s="3">
        <v>1285</v>
      </c>
      <c r="E15" s="5">
        <f t="shared" si="1"/>
        <v>5385</v>
      </c>
      <c r="F15" s="3">
        <f t="shared" si="0"/>
        <v>175093.88684866187</v>
      </c>
    </row>
    <row r="16" spans="1:6">
      <c r="A16" t="s">
        <v>11</v>
      </c>
      <c r="B16" s="1">
        <v>46132393</v>
      </c>
      <c r="C16" s="3">
        <v>2830</v>
      </c>
      <c r="D16" s="3">
        <v>2672</v>
      </c>
      <c r="E16" s="5">
        <f t="shared" si="1"/>
        <v>7358</v>
      </c>
      <c r="F16" s="3">
        <f t="shared" si="0"/>
        <v>239246.20602273982</v>
      </c>
    </row>
    <row r="17" spans="1:6">
      <c r="A17" t="s">
        <v>12</v>
      </c>
      <c r="B17" s="1">
        <v>46132393</v>
      </c>
      <c r="C17" s="3">
        <v>1262</v>
      </c>
      <c r="D17" s="3">
        <v>-1654</v>
      </c>
      <c r="E17" s="5">
        <f t="shared" si="1"/>
        <v>4975</v>
      </c>
      <c r="F17" s="3">
        <f t="shared" si="0"/>
        <v>161762.69026408406</v>
      </c>
    </row>
    <row r="18" spans="1:6">
      <c r="A18" t="s">
        <v>13</v>
      </c>
      <c r="B18" s="1">
        <v>46132393</v>
      </c>
      <c r="C18" s="3">
        <v>1446</v>
      </c>
      <c r="D18" s="3">
        <v>2264</v>
      </c>
      <c r="E18" s="5">
        <f t="shared" si="1"/>
        <v>1628</v>
      </c>
      <c r="F18" s="3">
        <f t="shared" si="0"/>
        <v>52934.604974860071</v>
      </c>
    </row>
    <row r="19" spans="1:6">
      <c r="A19" t="s">
        <v>14</v>
      </c>
      <c r="B19" s="1">
        <v>46132393</v>
      </c>
      <c r="C19" s="3">
        <v>1658</v>
      </c>
      <c r="D19" s="3">
        <v>1940</v>
      </c>
      <c r="E19" s="5">
        <f t="shared" si="1"/>
        <v>4814</v>
      </c>
      <c r="F19" s="3">
        <f t="shared" si="0"/>
        <v>156527.75697111574</v>
      </c>
    </row>
    <row r="20" spans="1:6">
      <c r="A20" t="s">
        <v>15</v>
      </c>
      <c r="B20" s="1">
        <v>46132393</v>
      </c>
      <c r="C20" s="3">
        <v>3150</v>
      </c>
      <c r="D20" s="3">
        <v>2452</v>
      </c>
      <c r="E20" s="5">
        <f t="shared" si="1"/>
        <v>8596</v>
      </c>
      <c r="F20" s="3">
        <f t="shared" si="0"/>
        <v>279499.91668544052</v>
      </c>
    </row>
    <row r="21" spans="1:6">
      <c r="A21" t="s">
        <v>16</v>
      </c>
      <c r="B21" s="1">
        <v>46132393</v>
      </c>
      <c r="C21" s="3">
        <v>540</v>
      </c>
      <c r="D21" s="3">
        <v>62</v>
      </c>
      <c r="E21" s="5">
        <f t="shared" si="1"/>
        <v>6906</v>
      </c>
      <c r="F21" s="3">
        <f t="shared" si="0"/>
        <v>224549.37466608331</v>
      </c>
    </row>
    <row r="22" spans="1:6">
      <c r="A22" t="s">
        <v>17</v>
      </c>
      <c r="B22" s="1">
        <v>46132393</v>
      </c>
      <c r="C22" s="3">
        <v>1953</v>
      </c>
      <c r="D22" s="3">
        <v>1783</v>
      </c>
      <c r="E22" s="5">
        <f t="shared" si="1"/>
        <v>4359</v>
      </c>
      <c r="F22" s="3">
        <f t="shared" si="0"/>
        <v>141733.38027359647</v>
      </c>
    </row>
    <row r="23" spans="1:6">
      <c r="A23" t="s">
        <v>18</v>
      </c>
      <c r="B23" s="1">
        <v>46132393</v>
      </c>
      <c r="C23" s="3">
        <v>1742</v>
      </c>
      <c r="D23" s="3">
        <v>1413</v>
      </c>
      <c r="E23" s="5">
        <f t="shared" si="1"/>
        <v>5041</v>
      </c>
      <c r="F23" s="3">
        <f t="shared" si="0"/>
        <v>163908.68776306487</v>
      </c>
    </row>
    <row r="24" spans="1:6">
      <c r="B24" s="1"/>
      <c r="C24" s="3"/>
      <c r="D24" s="3"/>
      <c r="E24" s="5"/>
      <c r="F24" s="3"/>
    </row>
    <row r="25" spans="1:6">
      <c r="B25" s="1"/>
      <c r="C25" s="3"/>
      <c r="D25" s="3"/>
      <c r="E25" s="5"/>
      <c r="F25" s="3"/>
    </row>
    <row r="26" spans="1:6">
      <c r="B26" s="1"/>
      <c r="C26" s="3"/>
      <c r="D26" s="3"/>
      <c r="E26" s="5"/>
      <c r="F26" s="3"/>
    </row>
    <row r="27" spans="1:6">
      <c r="B27" s="1"/>
      <c r="C27" s="3"/>
      <c r="D27" s="3"/>
      <c r="E27" s="3"/>
      <c r="F27" s="3"/>
    </row>
    <row r="28" spans="1:6">
      <c r="B2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크래프톤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2025-01-28T11:03:29Z</dcterms:created>
  <dcterms:modified xsi:type="dcterms:W3CDTF">2026-05-14T23:26:10Z</dcterms:modified>
</cp:coreProperties>
</file>