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09726DD7-E033-49BD-B507-73C7EB844BC6}" xr6:coauthVersionLast="47" xr6:coauthVersionMax="47" xr10:uidLastSave="{00000000-0000-0000-0000-000000000000}"/>
  <bookViews>
    <workbookView xWindow="13590" yWindow="1508" windowWidth="12915" windowHeight="11790" xr2:uid="{D9D73CAD-E573-4C8D-A11D-6741119845BC}"/>
  </bookViews>
  <sheets>
    <sheet name="티씨케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3" i="1"/>
  <c r="F8" i="1"/>
  <c r="F9" i="1"/>
  <c r="F10" i="1"/>
  <c r="F11" i="1"/>
  <c r="F12" i="1"/>
  <c r="F13" i="1"/>
  <c r="E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<sst xmlns="http://schemas.openxmlformats.org/spreadsheetml/2006/main" count="35" uniqueCount="35">
  <si>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</si>
  <si>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</si>
  <si>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</si>
  <si>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</si>
  <si>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</si>
  <si>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</si>
  <si>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</si>
  <si>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</si>
  <si>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</si>
  <si>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</si>
  <si>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</si>
  <si>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</si>
  <si>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</si>
  <si>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</si>
  <si>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</si>
  <si>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</si>
  <si>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</si>
  <si>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</si>
  <si>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</si>
  <si>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</si>
  <si>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</si>
  <si>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</si>
  <si>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</si>
  <si>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</si>
  <si>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</si>
  <si>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</si>
  <si>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</si>
  <si>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2025.3Q</t>
    <phoneticPr fontId="18" type="noConversion"/>
  </si>
  <si>
    <t>2025.2Q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</si>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</sst>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176" fontId="0" fillId="0" borderId="0" xfId="42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8101-B04E-4189-8B05-AF15EDA24A5E}">
  <dimension ref="A1:AG30"/>
  <sheetViews>
    <sheetView tabSelected="1" workbookViewId="0">
      <selection activeCell="F2" sqref="F2"/>
    </sheetView>
  </sheetViews>
  <sheetFormatPr defaultRowHeight="16.899999999999999"/>
  <cols>
    <col min="2" max="2" width="10.25" bestFit="1" customWidth="1"/>
  </cols>
  <sheetData>
    <row r="1" spans="1:33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33">
      <c r="A2" t="s">
        <v>34</v>
      </c>
      <c r="B2" s="1">
        <v>11675000</v>
      </c>
      <c r="C2" s="4">
        <v>375.7</v>
      </c>
      <c r="D2" s="4">
        <v>311.3</v>
      </c>
      <c r="E2" s="6">
        <f>(D2*3+D3*1)</f>
        <v>1243.9000000000001</v>
      </c>
      <c r="F2" s="6">
        <f>E2*100000000/B2*20</f>
        <v>213087.79443254822</v>
      </c>
    </row>
    <row r="3" spans="1:33">
      <c r="A3" t="s">
        <v>33</v>
      </c>
      <c r="B3" s="1">
        <v>11675000</v>
      </c>
      <c r="C3" s="4">
        <v>356.8</v>
      </c>
      <c r="D3" s="4">
        <v>310</v>
      </c>
      <c r="E3" s="6">
        <f>(D3*2+D2+D4)</f>
        <v>1199.8</v>
      </c>
      <c r="F3" s="6">
        <f t="shared" ref="F3:F28" si="0">E3*100000000/B3*20</f>
        <v>205533.19057815848</v>
      </c>
    </row>
    <row r="4" spans="1:33">
      <c r="A4" t="s">
        <v>32</v>
      </c>
      <c r="B4" s="1">
        <v>11675000</v>
      </c>
      <c r="C4" s="4">
        <v>324.7</v>
      </c>
      <c r="D4" s="4">
        <v>268.5</v>
      </c>
      <c r="E4" s="6">
        <f t="shared" ref="E4:E28" si="1">(D4*2+D3+D5)</f>
        <v>1083</v>
      </c>
      <c r="F4" s="6">
        <f t="shared" si="0"/>
        <v>185524.62526766595</v>
      </c>
    </row>
    <row r="5" spans="1:33">
      <c r="A5" t="s">
        <v>31</v>
      </c>
      <c r="B5" s="1">
        <v>11675000</v>
      </c>
      <c r="C5" s="5">
        <v>268</v>
      </c>
      <c r="D5" s="5">
        <v>236</v>
      </c>
      <c r="E5" s="6">
        <f t="shared" si="1"/>
        <v>991.5</v>
      </c>
      <c r="F5" s="6">
        <f t="shared" si="0"/>
        <v>169850.10706638117</v>
      </c>
    </row>
    <row r="6" spans="1:33">
      <c r="A6" t="s">
        <v>30</v>
      </c>
      <c r="B6" s="1">
        <v>11675000</v>
      </c>
      <c r="C6" s="5">
        <v>285</v>
      </c>
      <c r="D6" s="5">
        <v>251</v>
      </c>
      <c r="E6" s="6">
        <f t="shared" si="1"/>
        <v>939</v>
      </c>
      <c r="F6" s="6">
        <f t="shared" si="0"/>
        <v>160856.53104925054</v>
      </c>
    </row>
    <row r="7" spans="1:33">
      <c r="A7" t="s">
        <v>29</v>
      </c>
      <c r="B7" s="1">
        <v>11675000</v>
      </c>
      <c r="C7" s="5">
        <v>185.3</v>
      </c>
      <c r="D7" s="5">
        <v>201</v>
      </c>
      <c r="E7" s="6">
        <f t="shared" si="1"/>
        <v>835</v>
      </c>
      <c r="F7" s="6">
        <f t="shared" si="0"/>
        <v>143040.6852248394</v>
      </c>
      <c r="K7" s="1"/>
      <c r="R7" s="1"/>
      <c r="AE7" s="1"/>
    </row>
    <row r="8" spans="1:33">
      <c r="A8" t="s">
        <v>27</v>
      </c>
      <c r="B8" s="1">
        <v>11675000</v>
      </c>
      <c r="C8" s="5">
        <v>223</v>
      </c>
      <c r="D8" s="5">
        <v>182</v>
      </c>
      <c r="E8" s="6">
        <f t="shared" si="1"/>
        <v>724</v>
      </c>
      <c r="F8" s="6">
        <f t="shared" si="0"/>
        <v>124025.69593147752</v>
      </c>
      <c r="K8" s="1"/>
      <c r="R8" s="1"/>
      <c r="AE8" s="1"/>
    </row>
    <row r="9" spans="1:33">
      <c r="A9" t="s">
        <v>28</v>
      </c>
      <c r="B9" s="1">
        <v>11675000</v>
      </c>
      <c r="C9" s="5">
        <v>195</v>
      </c>
      <c r="D9" s="5">
        <v>159</v>
      </c>
      <c r="E9" s="6">
        <f t="shared" si="1"/>
        <v>695</v>
      </c>
      <c r="F9" s="6">
        <f t="shared" si="0"/>
        <v>119057.8158458244</v>
      </c>
      <c r="K9" s="1"/>
      <c r="R9" s="1"/>
      <c r="AE9" s="1"/>
    </row>
    <row r="10" spans="1:33">
      <c r="A10" t="s">
        <v>3</v>
      </c>
      <c r="B10" s="1">
        <v>11675000</v>
      </c>
      <c r="C10" s="5">
        <v>235</v>
      </c>
      <c r="D10" s="5">
        <v>195</v>
      </c>
      <c r="E10" s="6">
        <f t="shared" si="1"/>
        <v>736</v>
      </c>
      <c r="F10" s="6">
        <f t="shared" si="0"/>
        <v>126081.3704496788</v>
      </c>
      <c r="K10" s="1"/>
      <c r="Q10" s="1"/>
      <c r="R10" s="1"/>
      <c r="S10" s="1"/>
      <c r="AE10" s="1"/>
    </row>
    <row r="11" spans="1:33">
      <c r="A11" t="s">
        <v>4</v>
      </c>
      <c r="B11" s="1">
        <v>11675000</v>
      </c>
      <c r="C11" s="5">
        <v>205</v>
      </c>
      <c r="D11">
        <v>187</v>
      </c>
      <c r="E11" s="6">
        <f t="shared" si="1"/>
        <v>752</v>
      </c>
      <c r="F11" s="6">
        <f t="shared" si="0"/>
        <v>128822.26980728052</v>
      </c>
      <c r="K11" s="1"/>
      <c r="Q11" s="1"/>
      <c r="R11" s="1"/>
      <c r="S11" s="1"/>
      <c r="Y11" s="1"/>
      <c r="Z11" s="1"/>
      <c r="AE11" s="1"/>
      <c r="AF11" s="1"/>
      <c r="AG11" s="3"/>
    </row>
    <row r="12" spans="1:33">
      <c r="A12" t="s">
        <v>5</v>
      </c>
      <c r="B12" s="1">
        <v>11675000</v>
      </c>
      <c r="C12" s="5">
        <v>226</v>
      </c>
      <c r="D12">
        <v>183</v>
      </c>
      <c r="E12" s="6">
        <f t="shared" si="1"/>
        <v>740</v>
      </c>
      <c r="F12" s="6">
        <f t="shared" si="0"/>
        <v>126766.59528907924</v>
      </c>
      <c r="K12" s="1"/>
      <c r="Q12" s="1"/>
      <c r="R12" s="1"/>
      <c r="S12" s="1"/>
      <c r="Y12" s="1"/>
      <c r="Z12" s="1"/>
      <c r="AE12" s="1"/>
      <c r="AG12" s="3"/>
    </row>
    <row r="13" spans="1:33">
      <c r="A13" t="s">
        <v>6</v>
      </c>
      <c r="B13" s="1">
        <v>11675000</v>
      </c>
      <c r="C13">
        <v>226</v>
      </c>
      <c r="D13">
        <v>187</v>
      </c>
      <c r="E13" s="6">
        <f t="shared" si="1"/>
        <v>747</v>
      </c>
      <c r="F13" s="6">
        <f t="shared" si="0"/>
        <v>127965.73875802998</v>
      </c>
      <c r="K13" s="1"/>
      <c r="Q13" s="1"/>
      <c r="R13" s="1"/>
      <c r="S13" s="1"/>
      <c r="Y13" s="1"/>
      <c r="Z13" s="1"/>
      <c r="AE13" s="1"/>
      <c r="AG13" s="3"/>
    </row>
    <row r="14" spans="1:33">
      <c r="A14" t="s">
        <v>7</v>
      </c>
      <c r="B14" s="1">
        <v>11675000</v>
      </c>
      <c r="C14">
        <v>203</v>
      </c>
      <c r="D14">
        <v>190</v>
      </c>
      <c r="E14" s="6">
        <f t="shared" si="1"/>
        <v>723</v>
      </c>
      <c r="F14" s="6">
        <f t="shared" si="0"/>
        <v>123854.38972162741</v>
      </c>
      <c r="K14" s="1"/>
      <c r="Q14" s="1"/>
      <c r="R14" s="1"/>
      <c r="S14" s="1"/>
      <c r="Y14" s="1"/>
      <c r="Z14" s="1"/>
      <c r="AC14" s="1"/>
      <c r="AD14" s="1"/>
      <c r="AE14" s="1"/>
      <c r="AF14" s="1"/>
      <c r="AG14" s="3"/>
    </row>
    <row r="15" spans="1:33">
      <c r="A15" t="s">
        <v>8</v>
      </c>
      <c r="B15" s="1">
        <v>11675000</v>
      </c>
      <c r="C15">
        <v>174</v>
      </c>
      <c r="D15">
        <v>156</v>
      </c>
      <c r="E15" s="6">
        <f t="shared" si="1"/>
        <v>624</v>
      </c>
      <c r="F15" s="6">
        <f t="shared" si="0"/>
        <v>106895.0749464668</v>
      </c>
      <c r="K15" s="1"/>
      <c r="Q15" s="1"/>
      <c r="R15" s="1"/>
      <c r="S15" s="1"/>
      <c r="Y15" s="1"/>
      <c r="Z15" s="1"/>
      <c r="AE15" s="1"/>
      <c r="AG15" s="3"/>
    </row>
    <row r="16" spans="1:33">
      <c r="A16" t="s">
        <v>9</v>
      </c>
      <c r="B16" s="1">
        <v>11675000</v>
      </c>
      <c r="C16">
        <v>167</v>
      </c>
      <c r="D16">
        <v>122</v>
      </c>
      <c r="E16" s="6">
        <f t="shared" si="1"/>
        <v>572</v>
      </c>
      <c r="F16" s="6">
        <f t="shared" si="0"/>
        <v>97987.152034261235</v>
      </c>
      <c r="K16" s="1"/>
      <c r="Q16" s="1"/>
      <c r="R16" s="1"/>
      <c r="S16" s="1"/>
      <c r="Y16" s="1"/>
      <c r="Z16" s="1"/>
      <c r="AE16" s="1"/>
      <c r="AF16" s="1"/>
      <c r="AG16" s="3"/>
    </row>
    <row r="17" spans="1:33">
      <c r="A17" t="s">
        <v>10</v>
      </c>
      <c r="B17" s="1">
        <v>11675000</v>
      </c>
      <c r="C17">
        <v>149</v>
      </c>
      <c r="D17">
        <v>172</v>
      </c>
      <c r="E17" s="6">
        <f t="shared" si="1"/>
        <v>615</v>
      </c>
      <c r="F17" s="6">
        <f t="shared" si="0"/>
        <v>105353.31905781584</v>
      </c>
      <c r="K17" s="1"/>
      <c r="Q17" s="1"/>
      <c r="R17" s="1"/>
      <c r="S17" s="1"/>
      <c r="Y17" s="1"/>
      <c r="Z17" s="1"/>
      <c r="AE17" s="1"/>
      <c r="AG17" s="3"/>
    </row>
    <row r="18" spans="1:33">
      <c r="A18" t="s">
        <v>11</v>
      </c>
      <c r="B18" s="1">
        <v>11675000</v>
      </c>
      <c r="C18">
        <v>130</v>
      </c>
      <c r="D18">
        <v>149</v>
      </c>
      <c r="E18" s="6">
        <f t="shared" si="1"/>
        <v>640</v>
      </c>
      <c r="F18" s="6">
        <f t="shared" si="0"/>
        <v>109635.97430406851</v>
      </c>
      <c r="K18" s="1"/>
      <c r="Q18" s="1"/>
      <c r="R18" s="1"/>
      <c r="S18" s="1"/>
      <c r="Y18" s="1"/>
      <c r="Z18" s="1"/>
      <c r="AC18" s="1"/>
      <c r="AD18" s="1"/>
      <c r="AE18" s="1"/>
      <c r="AF18" s="1"/>
      <c r="AG18" s="3"/>
    </row>
    <row r="19" spans="1:33">
      <c r="A19" t="s">
        <v>12</v>
      </c>
      <c r="B19" s="1">
        <v>11675000</v>
      </c>
      <c r="C19">
        <v>221</v>
      </c>
      <c r="D19">
        <v>170</v>
      </c>
      <c r="E19" s="6">
        <f t="shared" si="1"/>
        <v>692</v>
      </c>
      <c r="F19" s="6">
        <f t="shared" si="0"/>
        <v>118543.89721627408</v>
      </c>
      <c r="K19" s="1"/>
      <c r="Q19" s="1"/>
      <c r="R19" s="1"/>
      <c r="S19" s="1"/>
      <c r="Y19" s="1"/>
      <c r="Z19" s="1"/>
      <c r="AE19" s="1"/>
      <c r="AF19" s="1"/>
      <c r="AG19" s="3"/>
    </row>
    <row r="20" spans="1:33">
      <c r="A20" t="s">
        <v>13</v>
      </c>
      <c r="B20" s="1">
        <v>11675000</v>
      </c>
      <c r="C20">
        <v>293</v>
      </c>
      <c r="D20">
        <v>203</v>
      </c>
      <c r="E20" s="6">
        <f t="shared" si="1"/>
        <v>827</v>
      </c>
      <c r="F20" s="6">
        <f t="shared" si="0"/>
        <v>141670.23554603854</v>
      </c>
      <c r="K20" s="1"/>
      <c r="Q20" s="1"/>
      <c r="R20" s="1"/>
      <c r="S20" s="1"/>
      <c r="Y20" s="1"/>
      <c r="Z20" s="1"/>
      <c r="AE20" s="1"/>
      <c r="AF20" s="1"/>
      <c r="AG20" s="3"/>
    </row>
    <row r="21" spans="1:33">
      <c r="A21" t="s">
        <v>14</v>
      </c>
      <c r="B21" s="1">
        <v>11675000</v>
      </c>
      <c r="C21">
        <v>351</v>
      </c>
      <c r="D21">
        <v>251</v>
      </c>
      <c r="E21" s="6">
        <f t="shared" si="1"/>
        <v>964</v>
      </c>
      <c r="F21" s="6">
        <f t="shared" si="0"/>
        <v>165139.1862955032</v>
      </c>
      <c r="K21" s="1"/>
      <c r="Q21" s="1"/>
      <c r="R21" s="1"/>
      <c r="S21" s="1"/>
      <c r="Y21" s="1"/>
      <c r="Z21" s="1"/>
      <c r="AE21" s="1"/>
      <c r="AG21" s="3"/>
    </row>
    <row r="22" spans="1:33">
      <c r="A22" t="s">
        <v>15</v>
      </c>
      <c r="B22" s="1">
        <v>11675000</v>
      </c>
      <c r="C22">
        <v>336</v>
      </c>
      <c r="D22">
        <v>259</v>
      </c>
      <c r="E22" s="6">
        <f t="shared" si="1"/>
        <v>997</v>
      </c>
      <c r="F22" s="6">
        <f t="shared" si="0"/>
        <v>170792.29122055677</v>
      </c>
      <c r="K22" s="1"/>
      <c r="Q22" s="1"/>
      <c r="R22" s="1"/>
      <c r="S22" s="1"/>
      <c r="Y22" s="1"/>
      <c r="Z22" s="1"/>
      <c r="AC22" s="1"/>
      <c r="AD22" s="1"/>
      <c r="AE22" s="1"/>
      <c r="AF22" s="1"/>
      <c r="AG22" s="3"/>
    </row>
    <row r="23" spans="1:33">
      <c r="A23" t="s">
        <v>16</v>
      </c>
      <c r="B23" s="1">
        <v>11675000</v>
      </c>
      <c r="C23">
        <v>291</v>
      </c>
      <c r="D23">
        <v>228</v>
      </c>
      <c r="E23" s="6">
        <f t="shared" si="1"/>
        <v>922</v>
      </c>
      <c r="F23" s="6">
        <f t="shared" si="0"/>
        <v>157944.3254817987</v>
      </c>
      <c r="K23" s="1"/>
      <c r="Q23" s="1"/>
      <c r="R23" s="1"/>
      <c r="S23" s="1"/>
      <c r="Y23" s="1"/>
      <c r="Z23" s="1"/>
      <c r="AE23" s="1"/>
      <c r="AF23" s="1"/>
      <c r="AG23" s="3"/>
    </row>
    <row r="24" spans="1:33">
      <c r="A24" t="s">
        <v>17</v>
      </c>
      <c r="B24" s="1">
        <v>11675000</v>
      </c>
      <c r="C24">
        <v>270</v>
      </c>
      <c r="D24">
        <v>207</v>
      </c>
      <c r="E24" s="6">
        <f t="shared" si="1"/>
        <v>853</v>
      </c>
      <c r="F24" s="6">
        <f t="shared" si="0"/>
        <v>146124.19700214133</v>
      </c>
      <c r="K24" s="1"/>
      <c r="Q24" s="1"/>
      <c r="R24" s="1"/>
      <c r="S24" s="1"/>
      <c r="Y24" s="1"/>
      <c r="Z24" s="1"/>
      <c r="AE24" s="1"/>
      <c r="AG24" s="3"/>
    </row>
    <row r="25" spans="1:33">
      <c r="A25" t="s">
        <v>18</v>
      </c>
      <c r="B25" s="1">
        <v>11675000</v>
      </c>
      <c r="C25">
        <v>266</v>
      </c>
      <c r="D25">
        <v>211</v>
      </c>
      <c r="E25" s="6">
        <f t="shared" si="1"/>
        <v>840</v>
      </c>
      <c r="F25" s="6">
        <f t="shared" si="0"/>
        <v>143897.21627408994</v>
      </c>
      <c r="K25" s="1"/>
      <c r="Q25" s="1"/>
      <c r="R25" s="1"/>
      <c r="S25" s="1"/>
      <c r="Y25" s="1"/>
      <c r="Z25" s="1"/>
      <c r="AE25" s="1"/>
      <c r="AF25" s="1"/>
      <c r="AG25" s="3"/>
    </row>
    <row r="26" spans="1:33">
      <c r="A26" t="s">
        <v>19</v>
      </c>
      <c r="B26" s="1">
        <v>11675000</v>
      </c>
      <c r="C26">
        <v>259</v>
      </c>
      <c r="D26">
        <v>211</v>
      </c>
      <c r="E26" s="6">
        <f t="shared" si="1"/>
        <v>823</v>
      </c>
      <c r="F26" s="6">
        <f t="shared" si="0"/>
        <v>140985.0107066381</v>
      </c>
      <c r="K26" s="1"/>
      <c r="Q26" s="1"/>
      <c r="R26" s="1"/>
      <c r="S26" s="1"/>
      <c r="Y26" s="1"/>
      <c r="Z26" s="1"/>
      <c r="AC26" s="1"/>
      <c r="AD26" s="1"/>
      <c r="AE26" s="1"/>
      <c r="AF26" s="1"/>
      <c r="AG26" s="3"/>
    </row>
    <row r="27" spans="1:33">
      <c r="A27" t="s">
        <v>20</v>
      </c>
      <c r="B27" s="1">
        <v>11675000</v>
      </c>
      <c r="C27">
        <v>239</v>
      </c>
      <c r="D27">
        <v>190</v>
      </c>
      <c r="E27" s="6">
        <f t="shared" si="1"/>
        <v>737</v>
      </c>
      <c r="F27" s="6">
        <f t="shared" si="0"/>
        <v>126252.67665952892</v>
      </c>
      <c r="K27" s="1"/>
      <c r="Q27" s="1"/>
      <c r="R27" s="1"/>
      <c r="S27" s="1"/>
      <c r="Y27" s="1"/>
      <c r="Z27" s="1"/>
      <c r="AE27" s="1"/>
      <c r="AF27" s="1"/>
      <c r="AG27" s="3"/>
    </row>
    <row r="28" spans="1:33">
      <c r="A28" t="s">
        <v>21</v>
      </c>
      <c r="B28" s="1">
        <v>11675000</v>
      </c>
      <c r="C28">
        <v>217</v>
      </c>
      <c r="D28">
        <v>146</v>
      </c>
      <c r="E28" s="6">
        <f t="shared" si="1"/>
        <v>640</v>
      </c>
      <c r="F28" s="6">
        <f t="shared" si="0"/>
        <v>109635.97430406851</v>
      </c>
      <c r="K28" s="1"/>
      <c r="Q28" s="1"/>
      <c r="R28" s="1"/>
      <c r="S28" s="1"/>
      <c r="Y28" s="1"/>
      <c r="Z28" s="1"/>
      <c r="AE28" s="1"/>
      <c r="AG28" s="3"/>
    </row>
    <row r="29" spans="1:33">
      <c r="A29" t="s">
        <v>22</v>
      </c>
      <c r="B29" s="1">
        <v>11675000</v>
      </c>
      <c r="C29">
        <v>206</v>
      </c>
      <c r="D29">
        <v>158</v>
      </c>
      <c r="F29" s="2"/>
      <c r="K29" s="1"/>
      <c r="Q29" s="1"/>
      <c r="R29" s="1"/>
      <c r="S29" s="1"/>
      <c r="Y29" s="1"/>
      <c r="Z29" s="1"/>
      <c r="AE29" s="1"/>
      <c r="AG29" s="3"/>
    </row>
    <row r="30" spans="1:33">
      <c r="A30" t="s">
        <v>23</v>
      </c>
      <c r="B30" s="1">
        <v>11675000</v>
      </c>
      <c r="C30">
        <v>196</v>
      </c>
      <c r="D30">
        <v>150</v>
      </c>
      <c r="F30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티씨케이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2025-01-28T10:16:23Z</dcterms:created>
  <dcterms:modified xsi:type="dcterms:W3CDTF">2026-10-06T09:33:04Z</dcterms:modified>
</cp:coreProperties>
</file>