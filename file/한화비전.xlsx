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er\0. JupyterNotebook\Finance\"/>
    </mc:Choice>
  </mc:AlternateContent>
  <xr:revisionPtr revIDLastSave="0" documentId="13_ncr:1_{C3904FFC-25C6-4FA3-ADE0-E533063EDA52}" xr6:coauthVersionLast="47" xr6:coauthVersionMax="47" xr10:uidLastSave="{00000000-0000-0000-0000-000000000000}"/>
  <bookViews>
    <workbookView xWindow="28702" yWindow="-98" windowWidth="28995" windowHeight="16395" xr2:uid="{D3AF1327-C308-42CF-AFA5-FE59593F7F78}"/>
  </bookViews>
  <sheets>
    <sheet name="한화비전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" l="1"/>
  <c r="F3" i="1"/>
  <c r="F5" i="1"/>
  <c r="F6" i="1"/>
  <c r="F7" i="1"/>
  <c r="F8" i="1"/>
  <c r="F9" i="1"/>
  <c r="F10" i="1"/>
  <c r="F11" i="1"/>
  <c r="F4" i="1"/>
  <c r="E5" i="1"/>
  <c r="E6" i="1"/>
  <c r="E7" i="1"/>
  <c r="E8" i="1"/>
  <c r="E9" i="1"/>
  <c r="E10" i="1"/>
  <c r="E11" i="1"/>
  <c r="E4" i="1"/>
  <c r="E3" i="1"/>
  <c r="E2" i="1"/>
</calcChain>
</file>

<file path=xl/sharedStrings.xml><?xml version="1.0" encoding="utf-8"?>
<sst xmlns="http://schemas.openxmlformats.org/spreadsheetml/2006/main" count="16" uniqueCount="16">
  <si>
    <t>분기</t>
  </si>
  <si>
    <t>상장주식수</t>
  </si>
  <si>
    <t>영업이익</t>
  </si>
  <si>
    <t>순이익</t>
  </si>
  <si>
    <t>4Q_income</t>
  </si>
  <si>
    <t>목표가</t>
  </si>
  <si>
    <t>2025.2Q</t>
  </si>
  <si>
    <t>2025.1Q</t>
  </si>
  <si>
    <t>2024.4Q</t>
  </si>
  <si>
    <t>2024.3Q</t>
  </si>
  <si>
    <t>2025.3Q</t>
    <phoneticPr fontId="18" type="noConversion"/>
  </si>
  <si>
    <t>2025.4Q</t>
  </si>
  <si>
    <t>2026.1Q</t>
    <phoneticPr fontId="18" type="noConversion"/>
  </si>
  <si>
    <t>2026.2Q</t>
    <phoneticPr fontId="18" type="noConversion"/>
  </si>
  <si>
    <t>2026.3Q</t>
    <phoneticPr fontId="18" type="noConversion"/>
  </si>
  <si>
    <t>2026.4Q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</si>
</sst>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5">
    <xf numFmtId="0" fontId="0" fillId="0" borderId="0" xfId="0">
      <alignment vertical="center"/>
    </xf>
    <xf numFmtId="3" fontId="0" fillId="0" borderId="0" xfId="0" applyNumberFormat="1">
      <alignment vertical="center"/>
    </xf>
    <xf numFmtId="1" fontId="0" fillId="0" borderId="0" xfId="0" applyNumberFormat="1">
      <alignment vertical="center"/>
    </xf>
    <xf numFmtId="41" fontId="0" fillId="0" borderId="0" xfId="42" applyFont="1">
      <alignment vertical="center"/>
    </xf>
    <xf numFmtId="0" fontId="14" fillId="0" borderId="0" xfId="0" applyFont="1">
      <alignment vertical="center"/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쉼표 [0]" xfId="42" builtinId="6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DA833-32CD-41F0-8697-E13F527EEF91}">
  <dimension ref="A1:F29"/>
  <sheetViews>
    <sheetView tabSelected="1" workbookViewId="0">
      <selection activeCell="G5" sqref="G5"/>
    </sheetView>
  </sheetViews>
  <sheetFormatPr defaultRowHeight="16.899999999999999" x14ac:dyDescent="0.6"/>
  <cols>
    <col min="2" max="2" width="12.375" customWidth="1"/>
  </cols>
  <sheetData>
    <row r="1" spans="1:6" x14ac:dyDescent="0.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6">
      <c r="A2" t="s">
        <v>15</v>
      </c>
      <c r="B2" s="1">
        <v>50488390</v>
      </c>
      <c r="C2" s="4">
        <v>705</v>
      </c>
      <c r="D2" s="4">
        <v>496</v>
      </c>
      <c r="E2">
        <f>(C2*2+C3*2)</f>
        <v>2722</v>
      </c>
      <c r="F2" s="3">
        <f t="shared" ref="F2:F3" si="0">E2*100000000/B2*20</f>
        <v>107826.76967912821</v>
      </c>
    </row>
    <row r="3" spans="1:6" x14ac:dyDescent="0.6">
      <c r="A3" t="s">
        <v>14</v>
      </c>
      <c r="B3" s="1">
        <v>50488390</v>
      </c>
      <c r="C3" s="4">
        <v>656</v>
      </c>
      <c r="D3" s="4">
        <v>485</v>
      </c>
      <c r="E3">
        <f>(C2*2+C3*2)</f>
        <v>2722</v>
      </c>
      <c r="F3" s="3">
        <f t="shared" si="0"/>
        <v>107826.76967912821</v>
      </c>
    </row>
    <row r="4" spans="1:6" x14ac:dyDescent="0.6">
      <c r="A4" t="s">
        <v>13</v>
      </c>
      <c r="B4" s="1">
        <v>50488390</v>
      </c>
      <c r="C4">
        <v>458</v>
      </c>
      <c r="D4">
        <v>399</v>
      </c>
      <c r="E4">
        <f>(C4*2+C3+C2)</f>
        <v>2277</v>
      </c>
      <c r="F4" s="3">
        <f>E4*100000000/B4*20</f>
        <v>90198.954650762287</v>
      </c>
    </row>
    <row r="5" spans="1:6" x14ac:dyDescent="0.6">
      <c r="A5" t="s">
        <v>12</v>
      </c>
      <c r="B5" s="1">
        <v>50488390</v>
      </c>
      <c r="C5">
        <v>220</v>
      </c>
      <c r="D5">
        <v>-139</v>
      </c>
      <c r="E5">
        <f t="shared" ref="E5:E11" si="1">(C5*2+C4+C3)</f>
        <v>1554</v>
      </c>
      <c r="F5" s="3">
        <f t="shared" ref="F5:F11" si="2">E5*100000000/B5*20</f>
        <v>61558.70686310259</v>
      </c>
    </row>
    <row r="6" spans="1:6" x14ac:dyDescent="0.6">
      <c r="A6" t="s">
        <v>11</v>
      </c>
      <c r="B6" s="1">
        <v>50488390</v>
      </c>
      <c r="C6">
        <v>342</v>
      </c>
      <c r="D6">
        <v>458</v>
      </c>
      <c r="E6">
        <f t="shared" si="1"/>
        <v>1362</v>
      </c>
      <c r="F6" s="3">
        <f t="shared" si="2"/>
        <v>53952.99790704358</v>
      </c>
    </row>
    <row r="7" spans="1:6" x14ac:dyDescent="0.6">
      <c r="A7" t="s">
        <v>10</v>
      </c>
      <c r="B7" s="1">
        <v>50488390</v>
      </c>
      <c r="C7">
        <v>312</v>
      </c>
      <c r="D7">
        <v>-67</v>
      </c>
      <c r="E7">
        <f t="shared" si="1"/>
        <v>1186</v>
      </c>
      <c r="F7" s="3">
        <f t="shared" si="2"/>
        <v>46981.098030656154</v>
      </c>
    </row>
    <row r="8" spans="1:6" x14ac:dyDescent="0.6">
      <c r="A8" t="s">
        <v>6</v>
      </c>
      <c r="B8" s="1">
        <v>50488390</v>
      </c>
      <c r="C8">
        <v>563</v>
      </c>
      <c r="D8">
        <v>-102</v>
      </c>
      <c r="E8">
        <f t="shared" si="1"/>
        <v>1780</v>
      </c>
      <c r="F8" s="3">
        <f t="shared" si="2"/>
        <v>70511.260113463708</v>
      </c>
    </row>
    <row r="9" spans="1:6" x14ac:dyDescent="0.6">
      <c r="A9" t="s">
        <v>7</v>
      </c>
      <c r="B9" s="1">
        <v>50488390</v>
      </c>
      <c r="C9">
        <v>443</v>
      </c>
      <c r="D9">
        <v>-33</v>
      </c>
      <c r="E9">
        <f t="shared" si="1"/>
        <v>1761</v>
      </c>
      <c r="F9" s="3">
        <f t="shared" si="2"/>
        <v>69758.611831353701</v>
      </c>
    </row>
    <row r="10" spans="1:6" x14ac:dyDescent="0.6">
      <c r="A10" t="s">
        <v>8</v>
      </c>
      <c r="B10" s="1">
        <v>50488390</v>
      </c>
      <c r="C10">
        <v>-55</v>
      </c>
      <c r="D10">
        <v>163</v>
      </c>
      <c r="E10">
        <f t="shared" si="1"/>
        <v>896</v>
      </c>
      <c r="F10" s="3">
        <f t="shared" si="2"/>
        <v>35493.3084616087</v>
      </c>
    </row>
    <row r="11" spans="1:6" x14ac:dyDescent="0.6">
      <c r="A11" t="s">
        <v>9</v>
      </c>
      <c r="B11" s="1">
        <v>50488390</v>
      </c>
      <c r="C11">
        <v>54</v>
      </c>
      <c r="D11">
        <v>-131</v>
      </c>
      <c r="E11">
        <f t="shared" si="1"/>
        <v>496</v>
      </c>
      <c r="F11" s="3">
        <f t="shared" si="2"/>
        <v>19648.081469819102</v>
      </c>
    </row>
    <row r="12" spans="1:6" x14ac:dyDescent="0.6">
      <c r="B12" s="1"/>
      <c r="F12" s="3"/>
    </row>
    <row r="13" spans="1:6" x14ac:dyDescent="0.6">
      <c r="B13" s="1"/>
      <c r="F13" s="3"/>
    </row>
    <row r="14" spans="1:6" x14ac:dyDescent="0.6">
      <c r="B14" s="1"/>
      <c r="F14" s="3"/>
    </row>
    <row r="15" spans="1:6" x14ac:dyDescent="0.6">
      <c r="B15" s="1"/>
      <c r="F15" s="3"/>
    </row>
    <row r="16" spans="1:6" x14ac:dyDescent="0.6">
      <c r="B16" s="1"/>
      <c r="F16" s="3"/>
    </row>
    <row r="17" spans="2:6" x14ac:dyDescent="0.6">
      <c r="B17" s="1"/>
      <c r="F17" s="3"/>
    </row>
    <row r="18" spans="2:6" x14ac:dyDescent="0.6">
      <c r="B18" s="1"/>
      <c r="F18" s="3"/>
    </row>
    <row r="19" spans="2:6" x14ac:dyDescent="0.6">
      <c r="B19" s="1"/>
      <c r="F19" s="3"/>
    </row>
    <row r="20" spans="2:6" x14ac:dyDescent="0.6">
      <c r="B20" s="1"/>
      <c r="F20" s="3"/>
    </row>
    <row r="21" spans="2:6" x14ac:dyDescent="0.6">
      <c r="B21" s="1"/>
      <c r="F21" s="3"/>
    </row>
    <row r="22" spans="2:6" x14ac:dyDescent="0.6">
      <c r="B22" s="1"/>
      <c r="F22" s="3"/>
    </row>
    <row r="23" spans="2:6" x14ac:dyDescent="0.6">
      <c r="B23" s="1"/>
      <c r="F23" s="3"/>
    </row>
    <row r="24" spans="2:6" x14ac:dyDescent="0.6">
      <c r="B24" s="1"/>
      <c r="F24" s="3"/>
    </row>
    <row r="25" spans="2:6" x14ac:dyDescent="0.6">
      <c r="B25" s="1"/>
      <c r="F25" s="3"/>
    </row>
    <row r="26" spans="2:6" x14ac:dyDescent="0.6">
      <c r="B26" s="1"/>
      <c r="F26" s="3"/>
    </row>
    <row r="27" spans="2:6" x14ac:dyDescent="0.6">
      <c r="B27" s="1"/>
      <c r="F27" s="2"/>
    </row>
    <row r="28" spans="2:6" x14ac:dyDescent="0.6">
      <c r="B28" s="1"/>
      <c r="F28" s="2"/>
    </row>
    <row r="29" spans="2:6" x14ac:dyDescent="0.6">
      <c r="B29" s="1"/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한화비전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김해중</cp:lastModifiedBy>
  <dcterms:created xsi:type="dcterms:W3CDTF">2025-01-28T09:43:57Z</dcterms:created>
  <dcterms:modified xsi:type="dcterms:W3CDTF">2026-05-20T23:25:20Z</dcterms:modified>
</cp:coreProperties>
</file>