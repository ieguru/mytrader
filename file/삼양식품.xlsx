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내 드라이브\Colab Notebooks\FIN\"/>
    </mc:Choice>
  </mc:AlternateContent>
  <xr:revisionPtr revIDLastSave="0" documentId="13_ncr:1_{9736E065-6AF1-43F4-B623-1476BA2058AA}" xr6:coauthVersionLast="47" xr6:coauthVersionMax="47" xr10:uidLastSave="{00000000-0000-0000-0000-000000000000}"/>
  <bookViews>
    <workbookView xWindow="-98" yWindow="-98" windowWidth="28996" windowHeight="15675" xr2:uid="{574589F6-5CF4-430A-9C77-3C46C2002903}"/>
  </bookViews>
  <sheets>
    <sheet name="삼양식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F23" i="1" s="1"/>
  <c r="E22" i="1"/>
  <c r="F22" i="1" s="1"/>
  <c r="F21" i="1"/>
  <c r="E21" i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<sst xmlns="http://schemas.openxmlformats.org/spreadsheetml/2006/main" count="28" uniqueCount="28">
  <si>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</si>
  <si>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</si>
  <si>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</si>
  <si>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</si>
  <si>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</si>
  <si>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</si>
  <si>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</si>
  <si>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</si>
  <si>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</si>
  <si>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</si>
  <si>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</si>
  <si>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</si>
  <si>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</si>
  <si>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</si>
  <si>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</si>
  <si>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</si>
  <si>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</si>
  <si>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</si>
  <si>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</si>
  <si>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</si>
  <si>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</si>
  <si>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2025.2Q</t>
    <phoneticPr fontId="18" type="noConversion"/>
  </si>
  <si>
    <t>4Q_income</t>
  </si>
  <si>
    <t>목표가</t>
  </si>
  <si>
    <t>상장주식수</t>
  </si>
  <si>
    <t>2025.3Q</t>
    <phoneticPr fontId="18" type="noConversion"/>
  </si>
  <si>
    <t>2025.4Q</t>
    <phoneticPr fontId="18" type="noConversion"/>
  </si>
  <si>
    <t>2026.1Q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</si>
</sst>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1" fontId="0" fillId="0" borderId="0" xfId="42" applyFont="1">
      <alignment vertical="center"/>
    </xf>
    <xf numFmtId="3" fontId="14" fillId="33" borderId="0" xfId="0" applyNumberFormat="1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6"/>
  <sheetViews>
    <sheetView tabSelected="1" workbookViewId="0">
      <selection activeCell="E4" sqref="E4"/>
    </sheetView>
  </sheetViews>
  <sheetFormatPr defaultRowHeight="16.899999999999999" x14ac:dyDescent="0.6"/>
  <cols>
    <col min="2" max="2" width="10.25" bestFit="1" customWidth="1"/>
    <col min="5" max="5" width="12.8125" customWidth="1"/>
    <col min="6" max="6" width="12.875" customWidth="1"/>
  </cols>
  <sheetData>
    <row r="1" spans="1:6" x14ac:dyDescent="0.6">
      <c r="A1" t="s">
        <v>0</v>
      </c>
      <c r="B1" t="s">
        <v>24</v>
      </c>
      <c r="C1" t="s">
        <v>1</v>
      </c>
      <c r="D1" t="s">
        <v>2</v>
      </c>
      <c r="E1" t="s">
        <v>22</v>
      </c>
      <c r="F1" t="s">
        <v>23</v>
      </c>
    </row>
    <row r="2" spans="1:6" x14ac:dyDescent="0.6">
      <c r="A2" t="s">
        <v>27</v>
      </c>
      <c r="B2" s="1">
        <v>7533015</v>
      </c>
      <c r="C2" s="4">
        <v>1671</v>
      </c>
      <c r="D2" s="4">
        <v>1309</v>
      </c>
      <c r="E2" s="3">
        <f>(C2*2+C3*2)</f>
        <v>6358</v>
      </c>
      <c r="F2" s="3">
        <f t="shared" ref="F2:F3" si="0">E2*100000000/B2*15</f>
        <v>1266026.9493688783</v>
      </c>
    </row>
    <row r="3" spans="1:6" x14ac:dyDescent="0.6">
      <c r="A3" t="s">
        <v>26</v>
      </c>
      <c r="B3" s="1">
        <v>7533015</v>
      </c>
      <c r="C3" s="4">
        <v>1508</v>
      </c>
      <c r="D3" s="4">
        <v>1171</v>
      </c>
      <c r="E3" s="3">
        <f>(C2*2+C3*2)</f>
        <v>6358</v>
      </c>
      <c r="F3" s="3">
        <f t="shared" si="0"/>
        <v>1266026.9493688783</v>
      </c>
    </row>
    <row r="4" spans="1:6" x14ac:dyDescent="0.6">
      <c r="A4" t="s">
        <v>25</v>
      </c>
      <c r="B4" s="1">
        <v>7533015</v>
      </c>
      <c r="C4" s="4">
        <v>1367</v>
      </c>
      <c r="D4" s="4">
        <v>1046</v>
      </c>
      <c r="E4" s="3">
        <f>C3+C4*2+C2</f>
        <v>5913</v>
      </c>
      <c r="F4" s="3">
        <f>E4*100000000/B4*15</f>
        <v>1177417.0103205689</v>
      </c>
    </row>
    <row r="5" spans="1:6" x14ac:dyDescent="0.6">
      <c r="A5" t="s">
        <v>21</v>
      </c>
      <c r="B5" s="1">
        <v>7533015</v>
      </c>
      <c r="C5" s="1">
        <v>1201</v>
      </c>
      <c r="D5" s="1">
        <v>841</v>
      </c>
      <c r="E5" s="3">
        <f t="shared" ref="E5:E23" si="1">C4+C5*2+C3</f>
        <v>5277</v>
      </c>
      <c r="F5" s="3">
        <f t="shared" ref="F5:F23" si="2">E5*100000000/B5*15</f>
        <v>1050774.4906919741</v>
      </c>
    </row>
    <row r="6" spans="1:6" x14ac:dyDescent="0.6">
      <c r="A6" t="s">
        <v>3</v>
      </c>
      <c r="B6" s="1">
        <v>7533015</v>
      </c>
      <c r="C6" s="1">
        <v>1340</v>
      </c>
      <c r="D6" s="1">
        <v>990</v>
      </c>
      <c r="E6" s="3">
        <f t="shared" si="1"/>
        <v>5248</v>
      </c>
      <c r="F6" s="3">
        <f t="shared" si="2"/>
        <v>1044999.9103944435</v>
      </c>
    </row>
    <row r="7" spans="1:6" x14ac:dyDescent="0.6">
      <c r="A7" t="s">
        <v>4</v>
      </c>
      <c r="B7" s="1">
        <v>7533015</v>
      </c>
      <c r="C7" s="1">
        <v>877</v>
      </c>
      <c r="D7" s="1">
        <v>757</v>
      </c>
      <c r="E7" s="3">
        <f t="shared" si="1"/>
        <v>4295</v>
      </c>
      <c r="F7" s="3">
        <f t="shared" si="2"/>
        <v>855235.25441008678</v>
      </c>
    </row>
    <row r="8" spans="1:6" x14ac:dyDescent="0.6">
      <c r="A8" t="s">
        <v>5</v>
      </c>
      <c r="B8" s="1">
        <v>7533015</v>
      </c>
      <c r="C8" s="1">
        <v>873</v>
      </c>
      <c r="D8" s="1">
        <v>587</v>
      </c>
      <c r="E8" s="3">
        <f t="shared" si="1"/>
        <v>3963</v>
      </c>
      <c r="F8" s="3">
        <f t="shared" si="2"/>
        <v>789126.26617629197</v>
      </c>
    </row>
    <row r="9" spans="1:6" x14ac:dyDescent="0.6">
      <c r="A9" t="s">
        <v>6</v>
      </c>
      <c r="B9" s="1">
        <v>7533015</v>
      </c>
      <c r="C9" s="1">
        <v>895</v>
      </c>
      <c r="D9" s="1">
        <v>703</v>
      </c>
      <c r="E9" s="3">
        <f t="shared" si="1"/>
        <v>3540</v>
      </c>
      <c r="F9" s="3">
        <f t="shared" si="2"/>
        <v>704897.04321576422</v>
      </c>
    </row>
    <row r="10" spans="1:6" x14ac:dyDescent="0.6">
      <c r="A10" t="s">
        <v>7</v>
      </c>
      <c r="B10" s="1">
        <v>7533015</v>
      </c>
      <c r="C10" s="1">
        <v>801</v>
      </c>
      <c r="D10" s="1">
        <v>665</v>
      </c>
      <c r="E10" s="3">
        <f t="shared" si="1"/>
        <v>3370</v>
      </c>
      <c r="F10" s="3">
        <f t="shared" si="2"/>
        <v>671046.05526472465</v>
      </c>
    </row>
    <row r="11" spans="1:6" x14ac:dyDescent="0.6">
      <c r="A11" t="s">
        <v>8</v>
      </c>
      <c r="B11" s="1">
        <v>7533015</v>
      </c>
      <c r="C11" s="1">
        <v>362</v>
      </c>
      <c r="D11" s="1">
        <v>314</v>
      </c>
      <c r="E11" s="3">
        <f t="shared" si="1"/>
        <v>2420</v>
      </c>
      <c r="F11" s="3">
        <f t="shared" si="2"/>
        <v>481878.76965597441</v>
      </c>
    </row>
    <row r="12" spans="1:6" x14ac:dyDescent="0.6">
      <c r="A12" t="s">
        <v>9</v>
      </c>
      <c r="B12" s="1">
        <v>7533015</v>
      </c>
      <c r="C12" s="1">
        <v>434</v>
      </c>
      <c r="D12">
        <v>378</v>
      </c>
      <c r="E12" s="3">
        <f t="shared" si="1"/>
        <v>2031</v>
      </c>
      <c r="F12" s="3">
        <f t="shared" si="2"/>
        <v>404419.74428565451</v>
      </c>
    </row>
    <row r="13" spans="1:6" x14ac:dyDescent="0.6">
      <c r="A13" t="s">
        <v>10</v>
      </c>
      <c r="B13" s="1">
        <v>7533015</v>
      </c>
      <c r="C13">
        <v>440</v>
      </c>
      <c r="D13" s="1">
        <v>348</v>
      </c>
      <c r="E13" s="3">
        <f t="shared" si="1"/>
        <v>1676</v>
      </c>
      <c r="F13" s="3">
        <f t="shared" si="2"/>
        <v>333730.91650554258</v>
      </c>
    </row>
    <row r="14" spans="1:6" x14ac:dyDescent="0.6">
      <c r="A14" t="s">
        <v>11</v>
      </c>
      <c r="B14" s="1">
        <v>7533015</v>
      </c>
      <c r="C14">
        <v>239</v>
      </c>
      <c r="D14">
        <v>226</v>
      </c>
      <c r="E14" s="3">
        <f t="shared" si="1"/>
        <v>1352</v>
      </c>
      <c r="F14" s="3">
        <f t="shared" si="2"/>
        <v>269214.91594003199</v>
      </c>
    </row>
    <row r="15" spans="1:6" x14ac:dyDescent="0.6">
      <c r="A15" t="s">
        <v>12</v>
      </c>
      <c r="B15" s="1">
        <v>7533015</v>
      </c>
      <c r="C15">
        <v>192</v>
      </c>
      <c r="D15" s="1">
        <v>22</v>
      </c>
      <c r="E15" s="3">
        <f t="shared" si="1"/>
        <v>1063</v>
      </c>
      <c r="F15" s="3">
        <f t="shared" si="2"/>
        <v>211668.23642326478</v>
      </c>
    </row>
    <row r="16" spans="1:6" x14ac:dyDescent="0.6">
      <c r="A16" t="s">
        <v>13</v>
      </c>
      <c r="B16" s="1">
        <v>7533015</v>
      </c>
      <c r="C16" s="1">
        <v>193</v>
      </c>
      <c r="D16" s="1">
        <v>312</v>
      </c>
      <c r="E16" s="3">
        <f t="shared" si="1"/>
        <v>817</v>
      </c>
      <c r="F16" s="3">
        <f t="shared" si="2"/>
        <v>162683.86562352526</v>
      </c>
    </row>
    <row r="17" spans="1:6" x14ac:dyDescent="0.6">
      <c r="A17" t="s">
        <v>14</v>
      </c>
      <c r="B17" s="1">
        <v>7533015</v>
      </c>
      <c r="C17" s="1">
        <v>273</v>
      </c>
      <c r="D17" s="1">
        <v>276</v>
      </c>
      <c r="E17" s="3">
        <f t="shared" si="1"/>
        <v>931</v>
      </c>
      <c r="F17" s="3">
        <f t="shared" si="2"/>
        <v>185383.93989657529</v>
      </c>
    </row>
    <row r="18" spans="1:6" x14ac:dyDescent="0.6">
      <c r="A18" t="s">
        <v>15</v>
      </c>
      <c r="B18" s="1">
        <v>7533015</v>
      </c>
      <c r="C18" s="1">
        <v>245</v>
      </c>
      <c r="D18" s="1">
        <v>193</v>
      </c>
      <c r="E18" s="3">
        <f t="shared" si="1"/>
        <v>956</v>
      </c>
      <c r="F18" s="3">
        <f t="shared" si="2"/>
        <v>190362.02635996343</v>
      </c>
    </row>
    <row r="19" spans="1:6" x14ac:dyDescent="0.6">
      <c r="A19" t="s">
        <v>16</v>
      </c>
      <c r="B19" s="1">
        <v>7533015</v>
      </c>
      <c r="C19" s="1">
        <v>216</v>
      </c>
      <c r="D19" s="1">
        <v>178</v>
      </c>
      <c r="E19" s="3">
        <f t="shared" si="1"/>
        <v>950</v>
      </c>
      <c r="F19" s="3">
        <f t="shared" si="2"/>
        <v>189167.2856087503</v>
      </c>
    </row>
    <row r="20" spans="1:6" x14ac:dyDescent="0.6">
      <c r="A20" t="s">
        <v>17</v>
      </c>
      <c r="B20" s="1">
        <v>7533015</v>
      </c>
      <c r="C20" s="1">
        <v>152</v>
      </c>
      <c r="D20" s="1">
        <v>147</v>
      </c>
      <c r="E20" s="3">
        <f t="shared" si="1"/>
        <v>765</v>
      </c>
      <c r="F20" s="3">
        <f t="shared" si="2"/>
        <v>152329.44577967786</v>
      </c>
    </row>
    <row r="21" spans="1:6" x14ac:dyDescent="0.6">
      <c r="A21" t="s">
        <v>18</v>
      </c>
      <c r="B21" s="1">
        <v>7533015</v>
      </c>
      <c r="C21" s="1">
        <v>142</v>
      </c>
      <c r="D21" s="1">
        <v>108</v>
      </c>
      <c r="E21" s="3">
        <f t="shared" si="1"/>
        <v>652</v>
      </c>
      <c r="F21" s="3">
        <f t="shared" si="2"/>
        <v>129828.49496516335</v>
      </c>
    </row>
    <row r="22" spans="1:6" x14ac:dyDescent="0.6">
      <c r="A22" t="s">
        <v>19</v>
      </c>
      <c r="B22" s="1">
        <v>7533015</v>
      </c>
      <c r="C22" s="1">
        <v>144</v>
      </c>
      <c r="D22" s="1">
        <v>132</v>
      </c>
      <c r="E22" s="3">
        <f t="shared" si="1"/>
        <v>582</v>
      </c>
      <c r="F22" s="3">
        <f t="shared" si="2"/>
        <v>115889.8528676765</v>
      </c>
    </row>
    <row r="23" spans="1:6" x14ac:dyDescent="0.6">
      <c r="A23" t="s">
        <v>20</v>
      </c>
      <c r="B23" s="1">
        <v>7533015</v>
      </c>
      <c r="C23">
        <v>158</v>
      </c>
      <c r="D23">
        <v>44</v>
      </c>
      <c r="E23" s="3">
        <f t="shared" si="1"/>
        <v>602</v>
      </c>
      <c r="F23" s="3">
        <f t="shared" si="2"/>
        <v>119872.32203838702</v>
      </c>
    </row>
    <row r="24" spans="1:6" x14ac:dyDescent="0.6">
      <c r="B24" s="1"/>
      <c r="C24" s="1"/>
      <c r="D24" s="1"/>
      <c r="F24" s="2"/>
    </row>
    <row r="25" spans="1:6" x14ac:dyDescent="0.6">
      <c r="B25" s="1"/>
    </row>
    <row r="26" spans="1:6" x14ac:dyDescent="0.6">
      <c r="B26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삼양식품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2025-01-31T15:13:54Z</dcterms:created>
  <dcterms:modified xsi:type="dcterms:W3CDTF">2025-09-13T06:49:36Z</dcterms:modified>
</cp:coreProperties>
</file>