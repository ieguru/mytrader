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90E8A3E-D033-4050-BE8B-5A712AF8BA9C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대한제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F6" i="1" s="1"/>
  <c r="E7" i="1"/>
  <c r="E8" i="1"/>
  <c r="E9" i="1"/>
  <c r="E10" i="1"/>
  <c r="E11" i="1"/>
  <c r="E12" i="1"/>
  <c r="E13" i="1"/>
  <c r="E14" i="1"/>
  <c r="E15" i="1"/>
  <c r="E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4" i="1"/>
  <c r="F4" i="1" s="1"/>
  <c r="E3" i="1"/>
  <c r="F3" i="1" s="1"/>
  <c r="E2" i="1"/>
  <c r="F2" i="1" s="1"/>
  <c r="F11" i="1"/>
  <c r="F12" i="1"/>
  <c r="F13" i="1"/>
  <c r="F14" i="1"/>
  <c r="F15" i="1"/>
  <c r="F16" i="1"/>
  <c r="F5" i="1"/>
  <c r="F9" i="1"/>
  <c r="F10" i="1"/>
  <c r="F8" i="1"/>
  <c r="F7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<sst xmlns="http://schemas.openxmlformats.org/spreadsheetml/2006/main" count="30" uniqueCount="30">
  <si>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</si>
  <si>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</si>
  <si>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</si>
  <si>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</si>
  <si>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</si>
  <si>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</si>
  <si>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</si>
  <si>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</si>
  <si>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</si>
  <si>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</si>
  <si>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</si>
  <si>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</si>
  <si>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</si>
  <si>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</si>
  <si>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</si>
  <si>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</si>
  <si>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</si>
  <si>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</si>
  <si>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</si>
  <si>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2025.2Q</t>
    <phoneticPr fontId="19" type="noConversion"/>
  </si>
  <si>
    <t>4Q_income</t>
  </si>
  <si>
    <t>목표가</t>
  </si>
  <si>
    <t>상장주식수</t>
  </si>
  <si>
    <t>2025.3Q</t>
    <phoneticPr fontId="19" type="noConversion"/>
  </si>
  <si>
    <t>2025.4Q</t>
    <phoneticPr fontId="19" type="noConversion"/>
  </si>
  <si>
    <t>2026.1Q</t>
    <phoneticPr fontId="19" type="noConversion"/>
  </si>
  <si>
    <t>2026.4Q</t>
    <phoneticPr fontId="19" type="noConversion"/>
  </si>
  <si>
    <t>2026.3Q</t>
    <phoneticPr fontId="19" type="noConversion"/>
  </si>
  <si>
    <t>2026.2Q</t>
    <phoneticPr fontId="19" type="noConversion"/>
  </si>
  <si>
    <t>2027.1Q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</si>
</sst>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3" fontId="15" fillId="33" borderId="0" xfId="0" applyNumberFormat="1" applyFont="1" applyFill="1">
      <alignment vertical="center"/>
    </xf>
    <xf numFmtId="3" fontId="0" fillId="33" borderId="0" xfId="0" applyNumberForma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33D11C8C-EDDC-4499-B408-418A4D78E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30"/>
  <sheetViews>
    <sheetView tabSelected="1" workbookViewId="0">
      <selection activeCell="C6" sqref="C6:D6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9.0625" bestFit="1" customWidth="1"/>
  </cols>
  <sheetData>
    <row r="1" spans="1:6" x14ac:dyDescent="0.6">
      <c r="A1" t="s">
        <v>0</v>
      </c>
      <c r="B1" t="s">
        <v>22</v>
      </c>
      <c r="C1" t="s">
        <v>1</v>
      </c>
      <c r="D1" t="s">
        <v>2</v>
      </c>
      <c r="E1" t="s">
        <v>20</v>
      </c>
      <c r="F1" t="s">
        <v>21</v>
      </c>
    </row>
    <row r="2" spans="1:6" x14ac:dyDescent="0.6">
      <c r="A2" t="s">
        <v>29</v>
      </c>
      <c r="B2" s="1">
        <v>16900000</v>
      </c>
      <c r="C2" s="4"/>
      <c r="D2" s="4"/>
      <c r="E2" s="3">
        <f>(D2*2+D3*2)</f>
        <v>0</v>
      </c>
      <c r="F2" s="3">
        <f>E2*100000000/B2*10</f>
        <v>0</v>
      </c>
    </row>
    <row r="3" spans="1:6" x14ac:dyDescent="0.6">
      <c r="A3" t="s">
        <v>26</v>
      </c>
      <c r="B3" s="1">
        <v>16900000</v>
      </c>
      <c r="C3" s="4"/>
      <c r="D3" s="4"/>
      <c r="E3" s="3">
        <f>(D2*2+D3*2)</f>
        <v>0</v>
      </c>
      <c r="F3" s="3">
        <f>E3*100000000/B3*10</f>
        <v>0</v>
      </c>
    </row>
    <row r="4" spans="1:6" x14ac:dyDescent="0.6">
      <c r="A4" t="s">
        <v>27</v>
      </c>
      <c r="B4" s="1">
        <v>16900000</v>
      </c>
      <c r="C4" s="4"/>
      <c r="D4" s="4"/>
      <c r="E4" s="3">
        <f>(D3+D4*2+D2)</f>
        <v>0</v>
      </c>
      <c r="F4" s="3">
        <f t="shared" ref="F4:F27" si="0">E4*100000000/B4*10</f>
        <v>0</v>
      </c>
    </row>
    <row r="5" spans="1:6" x14ac:dyDescent="0.6">
      <c r="A5" t="s">
        <v>28</v>
      </c>
      <c r="B5" s="1">
        <v>16900000</v>
      </c>
      <c r="C5" s="4">
        <v>70</v>
      </c>
      <c r="D5" s="4">
        <v>122</v>
      </c>
      <c r="E5" s="3">
        <f t="shared" ref="E5:E27" si="1">(D4+D5*2+D3)</f>
        <v>244</v>
      </c>
      <c r="F5" s="3">
        <f t="shared" si="0"/>
        <v>14437.869822485207</v>
      </c>
    </row>
    <row r="6" spans="1:6" x14ac:dyDescent="0.6">
      <c r="A6" t="s">
        <v>25</v>
      </c>
      <c r="B6" s="1">
        <v>16900000</v>
      </c>
      <c r="C6" s="5">
        <v>70</v>
      </c>
      <c r="D6" s="5">
        <v>74</v>
      </c>
      <c r="E6" s="3">
        <f t="shared" si="1"/>
        <v>270</v>
      </c>
      <c r="F6" s="3">
        <f t="shared" si="0"/>
        <v>15976.331360946744</v>
      </c>
    </row>
    <row r="7" spans="1:6" x14ac:dyDescent="0.6">
      <c r="A7" t="s">
        <v>24</v>
      </c>
      <c r="B7" s="1">
        <v>16900000</v>
      </c>
      <c r="C7" s="5">
        <v>150</v>
      </c>
      <c r="D7" s="5">
        <v>-828</v>
      </c>
      <c r="E7" s="3">
        <f t="shared" si="1"/>
        <v>-1460</v>
      </c>
      <c r="F7" s="3">
        <f t="shared" si="0"/>
        <v>-86390.532544378686</v>
      </c>
    </row>
    <row r="8" spans="1:6" x14ac:dyDescent="0.6">
      <c r="A8" t="s">
        <v>23</v>
      </c>
      <c r="B8" s="1">
        <v>16900000</v>
      </c>
      <c r="C8" s="5">
        <v>166</v>
      </c>
      <c r="D8" s="5">
        <v>229</v>
      </c>
      <c r="E8" s="3">
        <f t="shared" si="1"/>
        <v>-296</v>
      </c>
      <c r="F8" s="3">
        <f t="shared" si="0"/>
        <v>-17514.792899408283</v>
      </c>
    </row>
    <row r="9" spans="1:6" x14ac:dyDescent="0.6">
      <c r="A9" t="s">
        <v>19</v>
      </c>
      <c r="B9" s="1">
        <v>16900000</v>
      </c>
      <c r="C9" s="1">
        <v>150</v>
      </c>
      <c r="D9" s="1">
        <v>234</v>
      </c>
      <c r="E9" s="3">
        <f t="shared" si="1"/>
        <v>-131</v>
      </c>
      <c r="F9" s="3">
        <f t="shared" si="0"/>
        <v>-7751.4792899408276</v>
      </c>
    </row>
    <row r="10" spans="1:6" x14ac:dyDescent="0.6">
      <c r="A10" t="s">
        <v>3</v>
      </c>
      <c r="B10" s="1">
        <v>16900000</v>
      </c>
      <c r="C10" s="1">
        <v>157</v>
      </c>
      <c r="D10" s="1">
        <v>113</v>
      </c>
      <c r="E10" s="3">
        <f t="shared" si="1"/>
        <v>689</v>
      </c>
      <c r="F10" s="3">
        <f t="shared" si="0"/>
        <v>40769.230769230773</v>
      </c>
    </row>
    <row r="11" spans="1:6" x14ac:dyDescent="0.6">
      <c r="A11" t="s">
        <v>4</v>
      </c>
      <c r="B11" s="1">
        <v>16900000</v>
      </c>
      <c r="C11" s="1">
        <v>170</v>
      </c>
      <c r="D11" s="1">
        <v>32</v>
      </c>
      <c r="E11" s="3">
        <f t="shared" si="1"/>
        <v>411</v>
      </c>
      <c r="F11" s="3">
        <f t="shared" si="0"/>
        <v>24319.526627218933</v>
      </c>
    </row>
    <row r="12" spans="1:6" x14ac:dyDescent="0.6">
      <c r="A12" t="s">
        <v>5</v>
      </c>
      <c r="B12" s="1">
        <v>16900000</v>
      </c>
      <c r="C12" s="1">
        <v>172</v>
      </c>
      <c r="D12" s="1">
        <v>155</v>
      </c>
      <c r="E12" s="3">
        <f t="shared" si="1"/>
        <v>455</v>
      </c>
      <c r="F12" s="3">
        <f t="shared" si="0"/>
        <v>26923.076923076922</v>
      </c>
    </row>
    <row r="13" spans="1:6" x14ac:dyDescent="0.6">
      <c r="A13" t="s">
        <v>6</v>
      </c>
      <c r="B13" s="1">
        <v>16900000</v>
      </c>
      <c r="C13" s="1">
        <v>187</v>
      </c>
      <c r="D13" s="1">
        <v>156</v>
      </c>
      <c r="E13" s="3">
        <f t="shared" si="1"/>
        <v>499</v>
      </c>
      <c r="F13" s="3">
        <f t="shared" si="0"/>
        <v>29526.627218934911</v>
      </c>
    </row>
    <row r="14" spans="1:6" x14ac:dyDescent="0.6">
      <c r="A14" t="s">
        <v>7</v>
      </c>
      <c r="B14" s="1">
        <v>16900000</v>
      </c>
      <c r="C14" s="1">
        <v>195</v>
      </c>
      <c r="D14" s="1">
        <v>146</v>
      </c>
      <c r="E14" s="3">
        <f t="shared" si="1"/>
        <v>603</v>
      </c>
      <c r="F14" s="3">
        <f t="shared" si="0"/>
        <v>35680.473372781067</v>
      </c>
    </row>
    <row r="15" spans="1:6" x14ac:dyDescent="0.6">
      <c r="A15" t="s">
        <v>8</v>
      </c>
      <c r="B15" s="1">
        <v>16900000</v>
      </c>
      <c r="C15" s="1">
        <v>236</v>
      </c>
      <c r="D15" s="1">
        <v>472</v>
      </c>
      <c r="E15" s="3">
        <f t="shared" si="1"/>
        <v>1246</v>
      </c>
      <c r="F15" s="3">
        <f t="shared" si="0"/>
        <v>73727.810650887579</v>
      </c>
    </row>
    <row r="16" spans="1:6" x14ac:dyDescent="0.6">
      <c r="A16" t="s">
        <v>9</v>
      </c>
      <c r="B16" s="1">
        <v>16900000</v>
      </c>
      <c r="C16" s="1">
        <v>142</v>
      </c>
      <c r="D16">
        <v>108</v>
      </c>
      <c r="E16" s="3">
        <f t="shared" si="1"/>
        <v>834</v>
      </c>
      <c r="F16" s="3">
        <f t="shared" si="0"/>
        <v>49349.112426035499</v>
      </c>
    </row>
    <row r="17" spans="1:6" x14ac:dyDescent="0.6">
      <c r="A17" t="s">
        <v>10</v>
      </c>
      <c r="B17" s="1">
        <v>16900000</v>
      </c>
      <c r="C17">
        <v>139</v>
      </c>
      <c r="D17" s="1">
        <v>147</v>
      </c>
      <c r="E17" s="3">
        <f t="shared" si="1"/>
        <v>874</v>
      </c>
      <c r="F17" s="3">
        <f t="shared" si="0"/>
        <v>51715.976331360944</v>
      </c>
    </row>
    <row r="18" spans="1:6" x14ac:dyDescent="0.6">
      <c r="A18" t="s">
        <v>11</v>
      </c>
      <c r="B18" s="1">
        <v>16900000</v>
      </c>
      <c r="C18">
        <v>31</v>
      </c>
      <c r="D18">
        <v>85</v>
      </c>
      <c r="E18" s="3">
        <f t="shared" si="1"/>
        <v>425</v>
      </c>
      <c r="F18" s="3">
        <f t="shared" si="0"/>
        <v>25147.928994082838</v>
      </c>
    </row>
    <row r="19" spans="1:6" x14ac:dyDescent="0.6">
      <c r="A19" t="s">
        <v>12</v>
      </c>
      <c r="B19" s="1">
        <v>16900000</v>
      </c>
      <c r="C19">
        <v>88</v>
      </c>
      <c r="D19" s="1">
        <v>212</v>
      </c>
      <c r="E19" s="3">
        <f t="shared" si="1"/>
        <v>656</v>
      </c>
      <c r="F19" s="3">
        <f t="shared" si="0"/>
        <v>38816.568047337278</v>
      </c>
    </row>
    <row r="20" spans="1:6" x14ac:dyDescent="0.6">
      <c r="A20" t="s">
        <v>13</v>
      </c>
      <c r="B20" s="1">
        <v>16900000</v>
      </c>
      <c r="C20" s="1">
        <v>130</v>
      </c>
      <c r="D20" s="1">
        <v>49</v>
      </c>
      <c r="E20" s="3">
        <f t="shared" si="1"/>
        <v>395</v>
      </c>
      <c r="F20" s="3">
        <f t="shared" si="0"/>
        <v>23372.781065088755</v>
      </c>
    </row>
    <row r="21" spans="1:6" x14ac:dyDescent="0.6">
      <c r="A21" t="s">
        <v>14</v>
      </c>
      <c r="B21" s="1">
        <v>16900000</v>
      </c>
      <c r="C21" s="1">
        <v>151</v>
      </c>
      <c r="D21" s="1">
        <v>108</v>
      </c>
      <c r="E21" s="3">
        <f t="shared" si="1"/>
        <v>477</v>
      </c>
      <c r="F21" s="3">
        <f t="shared" si="0"/>
        <v>28224.852071005917</v>
      </c>
    </row>
    <row r="22" spans="1:6" x14ac:dyDescent="0.6">
      <c r="A22" t="s">
        <v>15</v>
      </c>
      <c r="B22" s="1">
        <v>16900000</v>
      </c>
      <c r="C22" s="1">
        <v>64</v>
      </c>
      <c r="D22" s="1">
        <v>44</v>
      </c>
      <c r="E22" s="3">
        <f t="shared" si="1"/>
        <v>245</v>
      </c>
      <c r="F22" s="3">
        <f t="shared" si="0"/>
        <v>14497.041420118345</v>
      </c>
    </row>
    <row r="23" spans="1:6" x14ac:dyDescent="0.6">
      <c r="A23" t="s">
        <v>16</v>
      </c>
      <c r="B23" s="1">
        <v>16900000</v>
      </c>
      <c r="C23" s="1">
        <v>13</v>
      </c>
      <c r="D23" s="1">
        <v>-43</v>
      </c>
      <c r="E23" s="3">
        <f t="shared" si="1"/>
        <v>66</v>
      </c>
      <c r="F23" s="3">
        <f t="shared" si="0"/>
        <v>3905.3254437869823</v>
      </c>
    </row>
    <row r="24" spans="1:6" x14ac:dyDescent="0.6">
      <c r="A24" t="s">
        <v>17</v>
      </c>
      <c r="B24" s="1">
        <v>16900000</v>
      </c>
      <c r="C24" s="1">
        <v>69</v>
      </c>
      <c r="D24" s="1">
        <v>59</v>
      </c>
      <c r="E24" s="3">
        <f t="shared" si="1"/>
        <v>119</v>
      </c>
      <c r="F24" s="3">
        <f t="shared" si="0"/>
        <v>7041.4201183431951</v>
      </c>
    </row>
    <row r="25" spans="1:6" x14ac:dyDescent="0.6">
      <c r="A25" t="s">
        <v>18</v>
      </c>
      <c r="B25" s="1">
        <v>16900000</v>
      </c>
      <c r="C25" s="1">
        <v>81</v>
      </c>
      <c r="D25" s="1">
        <v>776</v>
      </c>
      <c r="E25" s="3">
        <f t="shared" si="1"/>
        <v>1568</v>
      </c>
      <c r="F25" s="3">
        <f t="shared" si="0"/>
        <v>92781.065088757401</v>
      </c>
    </row>
    <row r="26" spans="1:6" x14ac:dyDescent="0.6">
      <c r="B26" s="1"/>
      <c r="C26" s="1"/>
      <c r="D26" s="1"/>
      <c r="E26" s="3"/>
      <c r="F26" s="3"/>
    </row>
    <row r="27" spans="1:6" x14ac:dyDescent="0.6">
      <c r="B27" s="1"/>
      <c r="E27" s="3"/>
      <c r="F27" s="3"/>
    </row>
    <row r="28" spans="1:6" x14ac:dyDescent="0.6">
      <c r="B28" s="1"/>
      <c r="C28" s="1"/>
      <c r="D28" s="1"/>
      <c r="F28" s="2"/>
    </row>
    <row r="29" spans="1:6" x14ac:dyDescent="0.6">
      <c r="B29" s="1"/>
      <c r="F29" s="2"/>
    </row>
    <row r="30" spans="1:6" x14ac:dyDescent="0.6">
      <c r="B30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대한제분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2026-10-07T23:41:31Z</dcterms:modified>
</cp:coreProperties>
</file>