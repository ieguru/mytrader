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내 드라이브\Colab Notebooks\FIN\"/>
    </mc:Choice>
  </mc:AlternateContent>
  <xr:revisionPtr revIDLastSave="0" documentId="13_ncr:1_{4BC00CBA-E8DE-406B-8B3E-2D78FF9982C3}" xr6:coauthVersionLast="47" xr6:coauthVersionMax="47" xr10:uidLastSave="{00000000-0000-0000-0000-000000000000}"/>
  <bookViews>
    <workbookView xWindow="28702" yWindow="-98" windowWidth="28995" windowHeight="16395" xr2:uid="{574589F6-5CF4-430A-9C77-3C46C2002903}"/>
  </bookViews>
  <sheets>
    <sheet name="HJ중공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9" i="1"/>
  <c r="F20" i="1"/>
  <c r="F21" i="1"/>
  <c r="F22" i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E19" i="1"/>
  <c r="E20" i="1"/>
  <c r="E21" i="1"/>
  <c r="E22" i="1"/>
  <c r="E23" i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<sst xmlns="http://schemas.openxmlformats.org/spreadsheetml/2006/main" count="30" uniqueCount="30">
  <si>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</si>
  <si>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</si>
  <si>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</si>
  <si>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</si>
  <si>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</si>
  <si>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</si>
  <si>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</si>
  <si>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</si>
  <si>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</si>
  <si>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</si>
  <si>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</si>
  <si>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</si>
  <si>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</si>
  <si>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</si>
  <si>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</si>
  <si>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</si>
  <si>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</si>
  <si>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</si>
  <si>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</si>
  <si>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</si>
  <si>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</si>
  <si>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2025.2Q</t>
    <phoneticPr fontId="18" type="noConversion"/>
  </si>
  <si>
    <t>4Q_income</t>
  </si>
  <si>
    <t>목표가</t>
  </si>
  <si>
    <t>상장주식수</t>
  </si>
  <si>
    <t>2020.3Q</t>
    <phoneticPr fontId="18" type="noConversion"/>
  </si>
  <si>
    <t>2020.2Q</t>
    <phoneticPr fontId="18" type="noConversion"/>
  </si>
  <si>
    <t>2020.1Q</t>
    <phoneticPr fontId="18" type="noConversion"/>
  </si>
  <si>
    <t>2025.3Q</t>
    <phoneticPr fontId="18" type="noConversion"/>
  </si>
  <si>
    <t>2025.4Q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</si>
</sst>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5"/>
  <sheetViews>
    <sheetView tabSelected="1" workbookViewId="0">
      <selection activeCell="C3" sqref="C3"/>
    </sheetView>
  </sheetViews>
  <sheetFormatPr defaultRowHeight="16.899999999999999" x14ac:dyDescent="0.6"/>
  <cols>
    <col min="2" max="2" width="10.25" bestFit="1" customWidth="1"/>
    <col min="5" max="5" width="12.8125" customWidth="1"/>
    <col min="6" max="6" width="9.0625" bestFit="1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22</v>
      </c>
      <c r="F1" t="s">
        <v>23</v>
      </c>
    </row>
    <row r="2" spans="1:6" x14ac:dyDescent="0.6">
      <c r="A2" t="s">
        <v>29</v>
      </c>
      <c r="B2" s="1">
        <v>83274281</v>
      </c>
      <c r="C2" s="4">
        <v>200</v>
      </c>
      <c r="D2" s="4">
        <v>101</v>
      </c>
      <c r="E2">
        <f>C2*4</f>
        <v>800</v>
      </c>
      <c r="F2" s="5">
        <f>E2*100000000/B2*18</f>
        <v>17292.253775208217</v>
      </c>
    </row>
    <row r="3" spans="1:6" x14ac:dyDescent="0.6">
      <c r="A3" t="s">
        <v>28</v>
      </c>
      <c r="B3" s="1">
        <v>83274281</v>
      </c>
      <c r="C3" s="4">
        <v>150</v>
      </c>
      <c r="D3" s="4">
        <v>101</v>
      </c>
      <c r="E3">
        <f>C3*2+C2*2</f>
        <v>700</v>
      </c>
      <c r="F3" s="5">
        <f t="shared" ref="F3:F22" si="0">E3*100000000/B3*18</f>
        <v>15130.72205330719</v>
      </c>
    </row>
    <row r="4" spans="1:6" x14ac:dyDescent="0.6">
      <c r="A4" t="s">
        <v>21</v>
      </c>
      <c r="B4" s="1">
        <v>83274281</v>
      </c>
      <c r="C4" s="4">
        <v>101</v>
      </c>
      <c r="D4" s="4">
        <v>101</v>
      </c>
      <c r="E4">
        <f>C4+C3*2+C2</f>
        <v>601</v>
      </c>
      <c r="F4" s="5">
        <f t="shared" si="0"/>
        <v>12990.805648625175</v>
      </c>
    </row>
    <row r="5" spans="1:6" x14ac:dyDescent="0.6">
      <c r="A5" t="s">
        <v>3</v>
      </c>
      <c r="B5" s="1">
        <v>83274281</v>
      </c>
      <c r="C5" s="3">
        <v>-11</v>
      </c>
      <c r="D5" s="3">
        <v>-10</v>
      </c>
      <c r="E5">
        <f t="shared" ref="E5:E23" si="1">C5+C4*2+C3</f>
        <v>341</v>
      </c>
      <c r="F5" s="5">
        <f t="shared" si="0"/>
        <v>7370.823171682503</v>
      </c>
    </row>
    <row r="6" spans="1:6" x14ac:dyDescent="0.6">
      <c r="A6" t="s">
        <v>4</v>
      </c>
      <c r="B6" s="1">
        <v>83274281</v>
      </c>
      <c r="C6" s="1">
        <v>123</v>
      </c>
      <c r="D6" s="1">
        <v>83</v>
      </c>
      <c r="E6">
        <f t="shared" si="1"/>
        <v>202</v>
      </c>
      <c r="F6" s="5">
        <f t="shared" si="0"/>
        <v>4366.2940782400756</v>
      </c>
    </row>
    <row r="7" spans="1:6" x14ac:dyDescent="0.6">
      <c r="A7" t="s">
        <v>5</v>
      </c>
      <c r="B7" s="1">
        <v>83274281</v>
      </c>
      <c r="C7" s="1">
        <v>-11</v>
      </c>
      <c r="D7" s="1">
        <v>-22</v>
      </c>
      <c r="E7">
        <f t="shared" si="1"/>
        <v>224</v>
      </c>
      <c r="F7" s="5">
        <f t="shared" si="0"/>
        <v>4841.8310570583017</v>
      </c>
    </row>
    <row r="8" spans="1:6" x14ac:dyDescent="0.6">
      <c r="A8" t="s">
        <v>6</v>
      </c>
      <c r="B8" s="1">
        <v>83274281</v>
      </c>
      <c r="C8" s="1">
        <v>4</v>
      </c>
      <c r="D8" s="1">
        <v>19</v>
      </c>
      <c r="E8">
        <f t="shared" si="1"/>
        <v>105</v>
      </c>
      <c r="F8" s="5">
        <f t="shared" si="0"/>
        <v>2269.6083079960786</v>
      </c>
    </row>
    <row r="9" spans="1:6" x14ac:dyDescent="0.6">
      <c r="A9" t="s">
        <v>7</v>
      </c>
      <c r="B9" s="1">
        <v>83274281</v>
      </c>
      <c r="C9" s="1">
        <v>-17</v>
      </c>
      <c r="D9" s="1">
        <v>-14</v>
      </c>
      <c r="E9">
        <f t="shared" si="1"/>
        <v>-20</v>
      </c>
      <c r="F9" s="5">
        <f t="shared" si="0"/>
        <v>-432.30634438020542</v>
      </c>
    </row>
    <row r="10" spans="1:6" x14ac:dyDescent="0.6">
      <c r="A10" t="s">
        <v>8</v>
      </c>
      <c r="B10" s="1">
        <v>83274281</v>
      </c>
      <c r="C10" s="1">
        <v>8</v>
      </c>
      <c r="D10" s="1">
        <v>-31</v>
      </c>
      <c r="E10">
        <f t="shared" si="1"/>
        <v>-22</v>
      </c>
      <c r="F10" s="5">
        <f t="shared" si="0"/>
        <v>-475.53697881822603</v>
      </c>
    </row>
    <row r="11" spans="1:6" x14ac:dyDescent="0.6">
      <c r="A11" t="s">
        <v>9</v>
      </c>
      <c r="B11" s="1">
        <v>83274281</v>
      </c>
      <c r="C11" s="1">
        <v>13</v>
      </c>
      <c r="D11">
        <v>14</v>
      </c>
      <c r="E11">
        <f t="shared" si="1"/>
        <v>12</v>
      </c>
      <c r="F11" s="5">
        <f t="shared" si="0"/>
        <v>259.3838066281233</v>
      </c>
    </row>
    <row r="12" spans="1:6" x14ac:dyDescent="0.6">
      <c r="A12" t="s">
        <v>10</v>
      </c>
      <c r="B12" s="1">
        <v>83274281</v>
      </c>
      <c r="C12">
        <v>62</v>
      </c>
      <c r="D12" s="1">
        <v>49</v>
      </c>
      <c r="E12">
        <f t="shared" si="1"/>
        <v>96</v>
      </c>
      <c r="F12" s="5">
        <f t="shared" si="0"/>
        <v>2075.0704530249864</v>
      </c>
    </row>
    <row r="13" spans="1:6" x14ac:dyDescent="0.6">
      <c r="A13" t="s">
        <v>11</v>
      </c>
      <c r="B13" s="1">
        <v>83274281</v>
      </c>
      <c r="C13">
        <v>37</v>
      </c>
      <c r="D13">
        <v>32</v>
      </c>
      <c r="E13">
        <f t="shared" si="1"/>
        <v>174</v>
      </c>
      <c r="F13" s="5">
        <f t="shared" si="0"/>
        <v>3761.0651961077874</v>
      </c>
    </row>
    <row r="14" spans="1:6" x14ac:dyDescent="0.6">
      <c r="A14" t="s">
        <v>12</v>
      </c>
      <c r="B14" s="1">
        <v>83274281</v>
      </c>
      <c r="C14">
        <v>34</v>
      </c>
      <c r="D14" s="1">
        <v>-23</v>
      </c>
      <c r="E14">
        <f t="shared" si="1"/>
        <v>170</v>
      </c>
      <c r="F14" s="5">
        <f t="shared" si="0"/>
        <v>3674.6039272317462</v>
      </c>
    </row>
    <row r="15" spans="1:6" x14ac:dyDescent="0.6">
      <c r="A15" t="s">
        <v>13</v>
      </c>
      <c r="B15" s="1">
        <v>83274281</v>
      </c>
      <c r="C15" s="1">
        <v>47</v>
      </c>
      <c r="D15" s="1">
        <v>57</v>
      </c>
      <c r="E15">
        <f t="shared" si="1"/>
        <v>152</v>
      </c>
      <c r="F15" s="5">
        <f t="shared" si="0"/>
        <v>3285.5282172895613</v>
      </c>
    </row>
    <row r="16" spans="1:6" x14ac:dyDescent="0.6">
      <c r="A16" t="s">
        <v>14</v>
      </c>
      <c r="B16" s="1">
        <v>83274281</v>
      </c>
      <c r="C16" s="1">
        <v>31</v>
      </c>
      <c r="D16" s="1">
        <v>53</v>
      </c>
      <c r="E16">
        <f t="shared" si="1"/>
        <v>159</v>
      </c>
      <c r="F16" s="5">
        <f t="shared" si="0"/>
        <v>3436.8354378226331</v>
      </c>
    </row>
    <row r="17" spans="1:6" x14ac:dyDescent="0.6">
      <c r="A17" t="s">
        <v>15</v>
      </c>
      <c r="B17" s="1">
        <v>83274281</v>
      </c>
      <c r="C17" s="1">
        <v>45</v>
      </c>
      <c r="D17" s="1">
        <v>20</v>
      </c>
      <c r="E17">
        <f t="shared" si="1"/>
        <v>154</v>
      </c>
      <c r="F17" s="5">
        <f t="shared" si="0"/>
        <v>3328.7588517275822</v>
      </c>
    </row>
    <row r="18" spans="1:6" x14ac:dyDescent="0.6">
      <c r="A18" t="s">
        <v>16</v>
      </c>
      <c r="B18" s="1">
        <v>83274281</v>
      </c>
      <c r="C18" s="1">
        <v>-31</v>
      </c>
      <c r="D18" s="1">
        <v>-247</v>
      </c>
      <c r="E18">
        <f t="shared" si="1"/>
        <v>90</v>
      </c>
      <c r="F18" s="5">
        <f t="shared" si="0"/>
        <v>1945.3785497109247</v>
      </c>
    </row>
    <row r="19" spans="1:6" x14ac:dyDescent="0.6">
      <c r="A19" t="s">
        <v>17</v>
      </c>
      <c r="B19" s="1">
        <v>83274281</v>
      </c>
      <c r="C19" s="1">
        <v>-6</v>
      </c>
      <c r="D19" s="1">
        <v>25</v>
      </c>
      <c r="E19">
        <f t="shared" si="1"/>
        <v>-23</v>
      </c>
      <c r="F19" s="5">
        <f t="shared" si="0"/>
        <v>-497.15229603723628</v>
      </c>
    </row>
    <row r="20" spans="1:6" x14ac:dyDescent="0.6">
      <c r="A20" t="s">
        <v>18</v>
      </c>
      <c r="B20" s="1">
        <v>83274281</v>
      </c>
      <c r="C20" s="1">
        <v>33</v>
      </c>
      <c r="D20" s="1">
        <v>22</v>
      </c>
      <c r="E20">
        <f t="shared" si="1"/>
        <v>-10</v>
      </c>
      <c r="F20" s="5">
        <f t="shared" si="0"/>
        <v>-216.15317219010271</v>
      </c>
    </row>
    <row r="21" spans="1:6" x14ac:dyDescent="0.6">
      <c r="A21" t="s">
        <v>19</v>
      </c>
      <c r="B21" s="1">
        <v>83274281</v>
      </c>
      <c r="C21" s="1">
        <v>2</v>
      </c>
      <c r="D21" s="1">
        <v>17</v>
      </c>
      <c r="E21">
        <f t="shared" si="1"/>
        <v>62</v>
      </c>
      <c r="F21" s="5">
        <f t="shared" si="0"/>
        <v>1340.149667578637</v>
      </c>
    </row>
    <row r="22" spans="1:6" x14ac:dyDescent="0.6">
      <c r="A22" t="s">
        <v>20</v>
      </c>
      <c r="B22" s="1">
        <v>83274281</v>
      </c>
      <c r="C22">
        <v>-5</v>
      </c>
      <c r="D22">
        <v>-108</v>
      </c>
      <c r="E22">
        <f t="shared" si="1"/>
        <v>32</v>
      </c>
      <c r="F22" s="5">
        <f t="shared" si="0"/>
        <v>691.69015100832871</v>
      </c>
    </row>
    <row r="23" spans="1:6" x14ac:dyDescent="0.6">
      <c r="A23" t="s">
        <v>25</v>
      </c>
      <c r="B23" s="1">
        <v>83274281</v>
      </c>
      <c r="C23" s="1">
        <v>-2</v>
      </c>
      <c r="D23" s="1">
        <v>-8</v>
      </c>
      <c r="E23">
        <f t="shared" si="1"/>
        <v>-10</v>
      </c>
      <c r="F23" s="2"/>
    </row>
    <row r="24" spans="1:6" x14ac:dyDescent="0.6">
      <c r="A24" t="s">
        <v>26</v>
      </c>
      <c r="B24" s="1">
        <v>83274281</v>
      </c>
      <c r="C24">
        <v>24</v>
      </c>
      <c r="D24">
        <v>18</v>
      </c>
      <c r="F24" s="2"/>
    </row>
    <row r="25" spans="1:6" x14ac:dyDescent="0.6">
      <c r="A25" t="s">
        <v>27</v>
      </c>
      <c r="B25" s="1">
        <v>83274281</v>
      </c>
      <c r="C25">
        <v>11</v>
      </c>
      <c r="D25">
        <v>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HJ중공업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2025-01-31T15:13:54Z</dcterms:created>
  <dcterms:modified xsi:type="dcterms:W3CDTF">2025-08-20T00:54:17Z</dcterms:modified>
</cp:coreProperties>
</file>