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내 드라이브\Colab Notebooks\FIN\"/>
    </mc:Choice>
  </mc:AlternateContent>
  <xr:revisionPtr revIDLastSave="0" documentId="13_ncr:1_{C84D6590-7B0F-48EB-A647-9D3F86F26156}" xr6:coauthVersionLast="47" xr6:coauthVersionMax="47" xr10:uidLastSave="{00000000-0000-0000-0000-000000000000}"/>
  <bookViews>
    <workbookView xWindow="-98" yWindow="-98" windowWidth="28996" windowHeight="15675" xr2:uid="{5EFDCE66-F4A1-4F7B-BC91-1CF5544063AA}"/>
  </bookViews>
  <sheets>
    <sheet name="실리콘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<sst xmlns="http://schemas.openxmlformats.org/spreadsheetml/2006/main" count="29" uniqueCount="29">
  <si>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</si>
  <si>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</si>
  <si>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</si>
  <si>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</si>
  <si>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</si>
  <si>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</si>
  <si>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</si>
  <si>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</si>
  <si>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</si>
  <si>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</si>
  <si>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</si>
  <si>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</si>
  <si>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</si>
  <si>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</si>
  <si>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</si>
  <si>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</si>
  <si>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</si>
  <si>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</si>
  <si>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</si>
  <si>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</si>
  <si>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</si>
  <si>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</si>
  <si>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</si>
  <si>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</si>
  <si>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상장주식수</t>
    <phoneticPr fontId="18" type="noConversion"/>
  </si>
  <si>
    <t>4Q_income</t>
  </si>
  <si>
    <t>목표가</t>
  </si>
  <si>
    <t>2025.2Q</t>
    <phoneticPr fontId="18" type="noConversion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</si>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</sst>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03EF5-0ABE-4F53-B689-8E5A5C65B1FB}">
  <dimension ref="A1:F23"/>
  <sheetViews>
    <sheetView tabSelected="1" workbookViewId="0">
      <selection activeCell="F2" sqref="F2:F22"/>
    </sheetView>
  </sheetViews>
  <sheetFormatPr defaultRowHeight="16.899999999999999" x14ac:dyDescent="0.6"/>
  <cols>
    <col min="2" max="2" width="10.25" bestFit="1" customWidth="1"/>
    <col min="4" max="4" width="10.375" customWidth="1"/>
  </cols>
  <sheetData>
    <row r="1" spans="1:6" x14ac:dyDescent="0.6">
      <c r="A1" t="s">
        <v>0</v>
      </c>
      <c r="B1" t="s">
        <v>24</v>
      </c>
      <c r="C1" t="s">
        <v>1</v>
      </c>
      <c r="D1" t="s">
        <v>2</v>
      </c>
      <c r="E1" t="s">
        <v>25</v>
      </c>
      <c r="F1" t="s">
        <v>26</v>
      </c>
    </row>
    <row r="2" spans="1:6" x14ac:dyDescent="0.6">
      <c r="A2" t="s">
        <v>27</v>
      </c>
      <c r="B2" s="1">
        <v>10680000</v>
      </c>
      <c r="C2">
        <v>213</v>
      </c>
      <c r="D2">
        <v>129</v>
      </c>
      <c r="E2">
        <f>SUM(C2:C5)</f>
        <v>694</v>
      </c>
      <c r="F2" s="2">
        <f>E2*100000000/B2*10</f>
        <v>64981.273408239707</v>
      </c>
    </row>
    <row r="3" spans="1:6" x14ac:dyDescent="0.6">
      <c r="A3" t="s">
        <v>3</v>
      </c>
      <c r="B3" s="1">
        <v>10680000</v>
      </c>
      <c r="C3">
        <v>164</v>
      </c>
      <c r="D3">
        <v>88</v>
      </c>
      <c r="E3">
        <f>SUM(C2:C5)</f>
        <v>694</v>
      </c>
      <c r="F3" s="2">
        <f t="shared" ref="F3:F22" si="0">E3*100000000/B3*10</f>
        <v>64981.273408239707</v>
      </c>
    </row>
    <row r="4" spans="1:6" x14ac:dyDescent="0.6">
      <c r="A4" t="s">
        <v>4</v>
      </c>
      <c r="B4" s="1">
        <v>10680000</v>
      </c>
      <c r="C4">
        <v>165</v>
      </c>
      <c r="D4">
        <v>98</v>
      </c>
      <c r="E4">
        <f t="shared" ref="E4:E23" si="1">SUM(C3:C6)</f>
        <v>662</v>
      </c>
      <c r="F4" s="2">
        <f t="shared" si="0"/>
        <v>61985.018726591763</v>
      </c>
    </row>
    <row r="5" spans="1:6" x14ac:dyDescent="0.6">
      <c r="A5" t="s">
        <v>5</v>
      </c>
      <c r="B5" s="1">
        <v>10680000</v>
      </c>
      <c r="C5">
        <v>152</v>
      </c>
      <c r="D5">
        <v>86</v>
      </c>
      <c r="E5">
        <f t="shared" si="1"/>
        <v>635</v>
      </c>
      <c r="F5" s="2">
        <f t="shared" si="0"/>
        <v>59456.928838951309</v>
      </c>
    </row>
    <row r="6" spans="1:6" x14ac:dyDescent="0.6">
      <c r="A6" t="s">
        <v>6</v>
      </c>
      <c r="B6" s="1">
        <v>10680000</v>
      </c>
      <c r="C6">
        <v>181</v>
      </c>
      <c r="D6">
        <v>163</v>
      </c>
      <c r="E6">
        <f t="shared" si="1"/>
        <v>620</v>
      </c>
      <c r="F6" s="2">
        <f t="shared" si="0"/>
        <v>58052.434456928837</v>
      </c>
    </row>
    <row r="7" spans="1:6" x14ac:dyDescent="0.6">
      <c r="A7" t="s">
        <v>7</v>
      </c>
      <c r="B7" s="1">
        <v>10680000</v>
      </c>
      <c r="C7">
        <v>137</v>
      </c>
      <c r="D7">
        <v>126</v>
      </c>
      <c r="E7">
        <f t="shared" si="1"/>
        <v>605</v>
      </c>
      <c r="F7" s="2">
        <f t="shared" si="0"/>
        <v>56647.940074906364</v>
      </c>
    </row>
    <row r="8" spans="1:6" x14ac:dyDescent="0.6">
      <c r="A8" t="s">
        <v>8</v>
      </c>
      <c r="B8" s="1">
        <v>10680000</v>
      </c>
      <c r="C8">
        <v>150</v>
      </c>
      <c r="D8">
        <v>61</v>
      </c>
      <c r="E8">
        <f t="shared" si="1"/>
        <v>536</v>
      </c>
      <c r="F8" s="2">
        <f t="shared" si="0"/>
        <v>50187.265917602999</v>
      </c>
    </row>
    <row r="9" spans="1:6" x14ac:dyDescent="0.6">
      <c r="A9" t="s">
        <v>9</v>
      </c>
      <c r="B9" s="1">
        <v>10680000</v>
      </c>
      <c r="C9">
        <v>137</v>
      </c>
      <c r="D9">
        <v>118</v>
      </c>
      <c r="E9">
        <f t="shared" si="1"/>
        <v>492</v>
      </c>
      <c r="F9" s="2">
        <f t="shared" si="0"/>
        <v>46067.415730337081</v>
      </c>
    </row>
    <row r="10" spans="1:6" x14ac:dyDescent="0.6">
      <c r="A10" t="s">
        <v>10</v>
      </c>
      <c r="B10" s="1">
        <v>10680000</v>
      </c>
      <c r="C10">
        <v>112</v>
      </c>
      <c r="D10">
        <v>86</v>
      </c>
      <c r="E10">
        <f t="shared" si="1"/>
        <v>380</v>
      </c>
      <c r="F10" s="2">
        <f t="shared" si="0"/>
        <v>35580.52434456929</v>
      </c>
    </row>
    <row r="11" spans="1:6" x14ac:dyDescent="0.6">
      <c r="A11" t="s">
        <v>11</v>
      </c>
      <c r="B11" s="1">
        <v>10680000</v>
      </c>
      <c r="C11">
        <v>93</v>
      </c>
      <c r="D11">
        <v>74</v>
      </c>
      <c r="E11">
        <f t="shared" si="1"/>
        <v>272</v>
      </c>
      <c r="F11" s="2">
        <f t="shared" si="0"/>
        <v>25468.164794007491</v>
      </c>
    </row>
    <row r="12" spans="1:6" x14ac:dyDescent="0.6">
      <c r="A12" t="s">
        <v>12</v>
      </c>
      <c r="B12" s="1">
        <v>10680000</v>
      </c>
      <c r="C12">
        <v>38</v>
      </c>
      <c r="D12">
        <v>-2</v>
      </c>
      <c r="E12">
        <f t="shared" si="1"/>
        <v>191</v>
      </c>
      <c r="F12" s="2">
        <f t="shared" si="0"/>
        <v>17883.895131086141</v>
      </c>
    </row>
    <row r="13" spans="1:6" x14ac:dyDescent="0.6">
      <c r="A13" t="s">
        <v>13</v>
      </c>
      <c r="B13" s="1">
        <v>10680000</v>
      </c>
      <c r="C13">
        <v>29</v>
      </c>
      <c r="D13">
        <v>33</v>
      </c>
      <c r="E13">
        <f t="shared" si="1"/>
        <v>104</v>
      </c>
      <c r="F13" s="2">
        <f t="shared" si="0"/>
        <v>9737.8277153558047</v>
      </c>
    </row>
    <row r="14" spans="1:6" x14ac:dyDescent="0.6">
      <c r="A14" t="s">
        <v>14</v>
      </c>
      <c r="B14" s="1">
        <v>10680000</v>
      </c>
      <c r="C14">
        <v>31</v>
      </c>
      <c r="D14">
        <v>28</v>
      </c>
      <c r="E14">
        <f t="shared" si="1"/>
        <v>80</v>
      </c>
      <c r="F14" s="2">
        <f t="shared" si="0"/>
        <v>7490.6367041198509</v>
      </c>
    </row>
    <row r="15" spans="1:6" x14ac:dyDescent="0.6">
      <c r="A15" t="s">
        <v>15</v>
      </c>
      <c r="B15" s="1">
        <v>10680000</v>
      </c>
      <c r="C15">
        <v>6</v>
      </c>
      <c r="D15">
        <v>1</v>
      </c>
      <c r="E15">
        <f t="shared" si="1"/>
        <v>117</v>
      </c>
      <c r="F15" s="2">
        <f t="shared" si="0"/>
        <v>10955.056179775282</v>
      </c>
    </row>
    <row r="16" spans="1:6" x14ac:dyDescent="0.6">
      <c r="A16" t="s">
        <v>16</v>
      </c>
      <c r="B16" s="1">
        <v>10680000</v>
      </c>
      <c r="C16">
        <v>14</v>
      </c>
      <c r="D16">
        <v>35</v>
      </c>
      <c r="E16">
        <f t="shared" si="1"/>
        <v>174</v>
      </c>
      <c r="F16" s="2">
        <f t="shared" si="0"/>
        <v>16292.134831460673</v>
      </c>
    </row>
    <row r="17" spans="1:6" x14ac:dyDescent="0.6">
      <c r="A17" t="s">
        <v>17</v>
      </c>
      <c r="B17" s="1">
        <v>10680000</v>
      </c>
      <c r="C17">
        <v>66</v>
      </c>
      <c r="D17">
        <v>62</v>
      </c>
      <c r="E17">
        <f t="shared" si="1"/>
        <v>202</v>
      </c>
      <c r="F17" s="2">
        <f t="shared" si="0"/>
        <v>18913.857677902623</v>
      </c>
    </row>
    <row r="18" spans="1:6" x14ac:dyDescent="0.6">
      <c r="A18" t="s">
        <v>18</v>
      </c>
      <c r="B18" s="1">
        <v>10680000</v>
      </c>
      <c r="C18">
        <v>88</v>
      </c>
      <c r="D18">
        <v>46</v>
      </c>
      <c r="E18">
        <f t="shared" si="1"/>
        <v>212</v>
      </c>
      <c r="F18" s="2">
        <f t="shared" si="0"/>
        <v>19850.187265917601</v>
      </c>
    </row>
    <row r="19" spans="1:6" x14ac:dyDescent="0.6">
      <c r="A19" t="s">
        <v>19</v>
      </c>
      <c r="B19" s="1">
        <v>10680000</v>
      </c>
      <c r="C19">
        <v>34</v>
      </c>
      <c r="D19">
        <v>28</v>
      </c>
      <c r="E19">
        <f t="shared" si="1"/>
        <v>165</v>
      </c>
      <c r="F19" s="2">
        <f t="shared" si="0"/>
        <v>15449.438202247191</v>
      </c>
    </row>
    <row r="20" spans="1:6" x14ac:dyDescent="0.6">
      <c r="A20" t="s">
        <v>20</v>
      </c>
      <c r="B20" s="1">
        <v>10680000</v>
      </c>
      <c r="C20">
        <v>24</v>
      </c>
      <c r="D20">
        <v>7</v>
      </c>
      <c r="E20">
        <f t="shared" si="1"/>
        <v>99</v>
      </c>
      <c r="F20" s="2">
        <f t="shared" si="0"/>
        <v>9269.6629213483138</v>
      </c>
    </row>
    <row r="21" spans="1:6" x14ac:dyDescent="0.6">
      <c r="A21" t="s">
        <v>21</v>
      </c>
      <c r="B21" s="1">
        <v>10680000</v>
      </c>
      <c r="C21">
        <v>19</v>
      </c>
      <c r="D21" t="s">
        <v>28</v>
      </c>
      <c r="E21">
        <f t="shared" si="1"/>
        <v>99</v>
      </c>
      <c r="F21" s="2">
        <f t="shared" si="0"/>
        <v>9269.6629213483138</v>
      </c>
    </row>
    <row r="22" spans="1:6" x14ac:dyDescent="0.6">
      <c r="A22" t="s">
        <v>22</v>
      </c>
      <c r="B22" s="1">
        <v>10680000</v>
      </c>
      <c r="C22">
        <v>22</v>
      </c>
      <c r="D22">
        <v>4</v>
      </c>
      <c r="E22">
        <f t="shared" si="1"/>
        <v>75</v>
      </c>
      <c r="F22" s="2">
        <f t="shared" si="0"/>
        <v>7022.4719101123592</v>
      </c>
    </row>
    <row r="23" spans="1:6" x14ac:dyDescent="0.6">
      <c r="A23" t="s">
        <v>23</v>
      </c>
      <c r="B23" s="1">
        <v>10680000</v>
      </c>
      <c r="C23">
        <v>34</v>
      </c>
      <c r="D23">
        <v>23</v>
      </c>
      <c r="E23">
        <f t="shared" si="1"/>
        <v>56</v>
      </c>
      <c r="F23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실리콘투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ieguru</cp:lastModifiedBy>
  <dcterms:created xsi:type="dcterms:W3CDTF">2025-01-28T10:38:30Z</dcterms:created>
  <dcterms:modified xsi:type="dcterms:W3CDTF">2025-02-17T02:17:45Z</dcterms:modified>
</cp:coreProperties>
</file>