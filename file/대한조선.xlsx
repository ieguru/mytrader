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8F191938-8E1D-45CA-9268-EC36E2E0DB92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대한조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E6" i="1"/>
  <c r="E5" i="1"/>
  <c r="E4" i="1"/>
  <c r="E3" i="1"/>
  <c r="E2" i="1"/>
  <c r="E7" i="1"/>
  <c r="E8" i="1"/>
  <c r="E9" i="1"/>
  <c r="E10" i="1"/>
</calcChain>
</file>

<file path=xl/sharedStrings.xml><?xml version="1.0" encoding="utf-8"?>
<sst xmlns="http://schemas.openxmlformats.org/spreadsheetml/2006/main" count="15" uniqueCount="15">
  <si>
    <t>분기</t>
  </si>
  <si>
    <t>영업이익</t>
  </si>
  <si>
    <t>순이익</t>
  </si>
  <si>
    <t>2025.1Q</t>
  </si>
  <si>
    <t>2025.2Q</t>
    <phoneticPr fontId="18" type="noConversion"/>
  </si>
  <si>
    <t>4Q_income</t>
  </si>
  <si>
    <t>목표가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</si>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</sst>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76" fontId="14" fillId="33" borderId="0" xfId="42" applyNumberFormat="1" applyFont="1" applyFill="1" applyBorder="1">
      <alignment vertical="center"/>
    </xf>
    <xf numFmtId="176" fontId="0" fillId="33" borderId="0" xfId="42" applyNumberFormat="1" applyFont="1" applyFill="1" applyBorder="1">
      <alignment vertical="center"/>
    </xf>
    <xf numFmtId="176" fontId="0" fillId="33" borderId="0" xfId="0" applyNumberFormat="1" applyFill="1">
      <alignment vertical="center"/>
    </xf>
    <xf numFmtId="176" fontId="19" fillId="33" borderId="0" xfId="42" applyNumberFormat="1" applyFont="1" applyFill="1" applyBorder="1">
      <alignment vertical="center"/>
    </xf>
    <xf numFmtId="176" fontId="19" fillId="33" borderId="0" xfId="0" applyNumberFormat="1" applyFont="1" applyFill="1">
      <alignment vertical="center"/>
    </xf>
    <xf numFmtId="176" fontId="0" fillId="0" borderId="0" xfId="42" applyNumberFormat="1" applyFont="1">
      <alignment vertical="center"/>
    </xf>
    <xf numFmtId="176" fontId="20" fillId="33" borderId="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30"/>
  <sheetViews>
    <sheetView tabSelected="1" workbookViewId="0">
      <selection activeCell="F2" sqref="F2:F10"/>
    </sheetView>
  </sheetViews>
  <sheetFormatPr defaultRowHeight="16.899999999999999"/>
  <cols>
    <col min="2" max="2" width="10.25" bestFit="1" customWidth="1"/>
    <col min="5" max="5" width="12.8125" customWidth="1"/>
    <col min="6" max="6" width="10.5625" bestFit="1" customWidth="1"/>
  </cols>
  <sheetData>
    <row r="1" spans="1:6">
      <c r="A1" t="s">
        <v>0</v>
      </c>
      <c r="B1" t="s">
        <v>7</v>
      </c>
      <c r="C1" t="s">
        <v>1</v>
      </c>
      <c r="D1" t="s">
        <v>2</v>
      </c>
      <c r="E1" t="s">
        <v>5</v>
      </c>
      <c r="F1" t="s">
        <v>6</v>
      </c>
    </row>
    <row r="2" spans="1:6">
      <c r="A2" s="3" t="s">
        <v>14</v>
      </c>
      <c r="B2" s="4">
        <v>38526312</v>
      </c>
      <c r="C2" s="11">
        <v>944.5</v>
      </c>
      <c r="D2" s="11">
        <v>771</v>
      </c>
      <c r="E2" s="10">
        <f>(D2*2+D3*2)</f>
        <v>3232</v>
      </c>
      <c r="F2" s="10">
        <f>E2*100000000/B2*10</f>
        <v>83890.718634059755</v>
      </c>
    </row>
    <row r="3" spans="1:6">
      <c r="A3" s="3" t="s">
        <v>13</v>
      </c>
      <c r="B3" s="4">
        <v>38526312</v>
      </c>
      <c r="C3" s="5">
        <v>1029</v>
      </c>
      <c r="D3" s="5">
        <v>845</v>
      </c>
      <c r="E3" s="10">
        <f>(D3*2+D2*2)</f>
        <v>3232</v>
      </c>
      <c r="F3" s="10">
        <f t="shared" ref="F3:F10" si="0">E3*100000000/B3*10</f>
        <v>83890.718634059755</v>
      </c>
    </row>
    <row r="4" spans="1:6">
      <c r="A4" s="3" t="s">
        <v>12</v>
      </c>
      <c r="B4" s="4">
        <v>38526312</v>
      </c>
      <c r="C4" s="11">
        <v>881</v>
      </c>
      <c r="D4" s="11">
        <v>710</v>
      </c>
      <c r="E4" s="10">
        <f>D4*1.5+D3*1.5+D2</f>
        <v>3103.5</v>
      </c>
      <c r="F4" s="10">
        <f t="shared" si="0"/>
        <v>80555.335792328115</v>
      </c>
    </row>
    <row r="5" spans="1:6">
      <c r="A5" s="3" t="s">
        <v>8</v>
      </c>
      <c r="B5" s="4">
        <v>38526312</v>
      </c>
      <c r="C5" s="5">
        <v>976</v>
      </c>
      <c r="D5" s="5">
        <v>793</v>
      </c>
      <c r="E5" s="10">
        <f t="shared" ref="E5:E6" si="1">D5*1.5+D4*1.5+D3</f>
        <v>3099.5</v>
      </c>
      <c r="F5" s="10">
        <f t="shared" si="0"/>
        <v>80451.510645503775</v>
      </c>
    </row>
    <row r="6" spans="1:6">
      <c r="A6" s="3" t="s">
        <v>9</v>
      </c>
      <c r="B6" s="4">
        <v>38526312</v>
      </c>
      <c r="C6" s="8">
        <v>826</v>
      </c>
      <c r="D6" s="8">
        <v>682.8</v>
      </c>
      <c r="E6" s="10">
        <f t="shared" si="1"/>
        <v>2923.7</v>
      </c>
      <c r="F6" s="10">
        <f t="shared" si="0"/>
        <v>75888.395442574416</v>
      </c>
    </row>
    <row r="7" spans="1:6">
      <c r="A7" s="3" t="s">
        <v>10</v>
      </c>
      <c r="B7" s="4">
        <v>38526312</v>
      </c>
      <c r="C7" s="8">
        <v>953.3</v>
      </c>
      <c r="D7" s="8">
        <v>690</v>
      </c>
      <c r="E7" s="6">
        <f t="shared" ref="E6:E10" si="2">(C7+C6*2+C5)</f>
        <v>3581.3</v>
      </c>
      <c r="F7" s="10">
        <f t="shared" si="0"/>
        <v>92957.249580494507</v>
      </c>
    </row>
    <row r="8" spans="1:6">
      <c r="A8" s="3" t="s">
        <v>11</v>
      </c>
      <c r="B8" s="4">
        <v>38526312</v>
      </c>
      <c r="C8" s="8">
        <v>665</v>
      </c>
      <c r="D8" s="8">
        <v>658</v>
      </c>
      <c r="E8" s="6">
        <f t="shared" si="2"/>
        <v>3397.6</v>
      </c>
      <c r="F8" s="10">
        <f t="shared" si="0"/>
        <v>88189.079712587089</v>
      </c>
    </row>
    <row r="9" spans="1:6">
      <c r="A9" s="3" t="s">
        <v>4</v>
      </c>
      <c r="B9" s="4">
        <v>38526312</v>
      </c>
      <c r="C9" s="9">
        <v>625</v>
      </c>
      <c r="D9" s="9">
        <v>437</v>
      </c>
      <c r="E9" s="6">
        <f t="shared" si="2"/>
        <v>2908.3</v>
      </c>
      <c r="F9" s="10">
        <f t="shared" si="0"/>
        <v>75488.668627300736</v>
      </c>
    </row>
    <row r="10" spans="1:6">
      <c r="A10" s="3" t="s">
        <v>3</v>
      </c>
      <c r="B10" s="4">
        <v>38526312</v>
      </c>
      <c r="C10" s="9">
        <v>697</v>
      </c>
      <c r="D10" s="9">
        <v>606</v>
      </c>
      <c r="E10" s="6">
        <f t="shared" si="2"/>
        <v>2612</v>
      </c>
      <c r="F10" s="10">
        <f t="shared" si="0"/>
        <v>67797.820876288388</v>
      </c>
    </row>
    <row r="11" spans="1:6">
      <c r="A11" s="3"/>
      <c r="B11" s="4"/>
      <c r="C11" s="7"/>
      <c r="D11" s="7"/>
      <c r="E11" s="6"/>
      <c r="F11" s="6"/>
    </row>
    <row r="12" spans="1:6">
      <c r="A12" s="3"/>
      <c r="B12" s="4"/>
      <c r="C12" s="7"/>
      <c r="D12" s="7"/>
      <c r="E12" s="6"/>
      <c r="F12" s="6"/>
    </row>
    <row r="13" spans="1:6">
      <c r="A13" s="3"/>
      <c r="B13" s="4"/>
      <c r="C13" s="7"/>
      <c r="D13" s="7"/>
      <c r="E13" s="6"/>
      <c r="F13" s="6"/>
    </row>
    <row r="14" spans="1:6">
      <c r="A14" s="3"/>
      <c r="B14" s="4"/>
      <c r="C14" s="7"/>
      <c r="D14" s="7"/>
      <c r="E14" s="6"/>
      <c r="F14" s="6"/>
    </row>
    <row r="15" spans="1:6">
      <c r="A15" s="3"/>
      <c r="B15" s="4"/>
      <c r="C15" s="7"/>
      <c r="D15" s="7"/>
      <c r="E15" s="6"/>
      <c r="F15" s="6"/>
    </row>
    <row r="16" spans="1:6">
      <c r="A16" s="3"/>
      <c r="B16" s="4"/>
      <c r="C16" s="7"/>
      <c r="D16" s="7"/>
      <c r="E16" s="6"/>
      <c r="F16" s="6"/>
    </row>
    <row r="17" spans="1:6">
      <c r="A17" s="3"/>
      <c r="B17" s="4"/>
      <c r="C17" s="7"/>
      <c r="D17" s="7"/>
      <c r="E17" s="6"/>
      <c r="F17" s="6"/>
    </row>
    <row r="18" spans="1:6">
      <c r="A18" s="3"/>
      <c r="B18" s="4"/>
      <c r="C18" s="7"/>
      <c r="D18" s="7"/>
      <c r="E18" s="6"/>
      <c r="F18" s="6"/>
    </row>
    <row r="19" spans="1:6">
      <c r="A19" s="3"/>
      <c r="B19" s="4"/>
      <c r="C19" s="7"/>
      <c r="D19" s="7"/>
      <c r="E19" s="6"/>
      <c r="F19" s="6"/>
    </row>
    <row r="20" spans="1:6">
      <c r="A20" s="3"/>
      <c r="B20" s="4"/>
      <c r="C20" s="7"/>
      <c r="D20" s="7"/>
      <c r="E20" s="6"/>
      <c r="F20" s="6"/>
    </row>
    <row r="21" spans="1:6">
      <c r="A21" s="3"/>
      <c r="B21" s="4"/>
      <c r="C21" s="7"/>
      <c r="D21" s="7"/>
      <c r="E21" s="6"/>
      <c r="F21" s="6"/>
    </row>
    <row r="22" spans="1:6">
      <c r="A22" s="3"/>
      <c r="B22" s="4"/>
      <c r="C22" s="7"/>
      <c r="D22" s="7"/>
      <c r="E22" s="6"/>
      <c r="F22" s="6"/>
    </row>
    <row r="23" spans="1:6">
      <c r="A23" s="3"/>
      <c r="B23" s="4"/>
      <c r="C23" s="7"/>
      <c r="D23" s="7"/>
      <c r="E23" s="6"/>
      <c r="F23" s="6"/>
    </row>
    <row r="24" spans="1:6">
      <c r="A24" s="3"/>
      <c r="B24" s="4"/>
      <c r="C24" s="7"/>
      <c r="D24" s="7"/>
      <c r="E24" s="6"/>
      <c r="F24" s="6"/>
    </row>
    <row r="25" spans="1:6">
      <c r="A25" s="3"/>
      <c r="B25" s="4"/>
      <c r="C25" s="7"/>
      <c r="D25" s="7"/>
      <c r="E25" s="6"/>
      <c r="F25" s="6"/>
    </row>
    <row r="26" spans="1:6">
      <c r="A26" s="3"/>
      <c r="B26" s="4"/>
      <c r="C26" s="7"/>
      <c r="D26" s="7"/>
      <c r="E26" s="6"/>
      <c r="F26" s="6"/>
    </row>
    <row r="27" spans="1:6">
      <c r="A27" s="3"/>
      <c r="B27" s="4"/>
      <c r="C27" s="7"/>
      <c r="D27" s="7"/>
      <c r="E27" s="6"/>
      <c r="F27" s="6"/>
    </row>
    <row r="28" spans="1:6">
      <c r="B28" s="1"/>
      <c r="F28" s="2"/>
    </row>
    <row r="29" spans="1:6">
      <c r="B29" s="1"/>
      <c r="F29" s="2"/>
    </row>
    <row r="30" spans="1:6">
      <c r="B30" s="1"/>
      <c r="C30" s="1"/>
      <c r="D3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대한조선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2026-09-20T23:16:25Z</dcterms:modified>
</cp:coreProperties>
</file>