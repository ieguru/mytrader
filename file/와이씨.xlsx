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20ADA573-2394-4A2B-A07B-47A5B1D4547F}" xr6:coauthVersionLast="47" xr6:coauthVersionMax="47" xr10:uidLastSave="{00000000-0000-0000-0000-000000000000}"/>
  <bookViews>
    <workbookView xWindow="11040" yWindow="1515" windowWidth="15878" windowHeight="13455" xr2:uid="{EB6A6893-F42F-478A-85BA-AF7698723A96}"/>
  </bookViews>
  <sheets>
    <sheet name="와이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2" i="1"/>
  <c r="F2" i="1" s="1"/>
  <c r="E6" i="1"/>
  <c r="F6" i="1" s="1"/>
  <c r="E7" i="1"/>
  <c r="F7" i="1" s="1"/>
  <c r="E8" i="1"/>
  <c r="E9" i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E24" i="1"/>
  <c r="E25" i="1"/>
  <c r="E26" i="1"/>
  <c r="E27" i="1"/>
  <c r="E5" i="1"/>
  <c r="F5" i="1" s="1"/>
  <c r="E4" i="1"/>
  <c r="F4" i="1" s="1"/>
  <c r="F27" i="1"/>
  <c r="F26" i="1"/>
  <c r="F25" i="1"/>
  <c r="F24" i="1"/>
  <c r="F23" i="1"/>
  <c r="F9" i="1"/>
  <c r="F8" i="1"/>
</calcChain>
</file>

<file path=xl/sharedStrings.xml><?xml version="1.0" encoding="utf-8"?>
<sst xmlns="http://schemas.openxmlformats.org/spreadsheetml/2006/main" count="33" uniqueCount="33">
  <si>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</si>
  <si>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</si>
  <si>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</si>
  <si>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</si>
  <si>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</si>
  <si>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</si>
  <si>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</si>
  <si>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</si>
  <si>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</si>
  <si>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</si>
  <si>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</si>
  <si>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</si>
  <si>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</si>
  <si>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</si>
  <si>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</si>
  <si>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</si>
  <si>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</si>
  <si>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</si>
  <si>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</si>
  <si>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</si>
  <si>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</si>
  <si>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</si>
  <si>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</si>
  <si>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</si>
  <si>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4Q_income</t>
  </si>
  <si>
    <t>목표가</t>
  </si>
  <si>
    <t>상장주식수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</si>
  <si>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</si>
  <si>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</si>
  <si>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</si>
  <si>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2025.2Q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</si>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</sst>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42" applyNumberFormat="1" applyFont="1">
      <alignment vertical="center"/>
    </xf>
    <xf numFmtId="177" fontId="0" fillId="0" borderId="0" xfId="42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FD6D-57A9-431E-B100-3184AB0DC5C3}">
  <dimension ref="A1:F28"/>
  <sheetViews>
    <sheetView tabSelected="1" workbookViewId="0">
      <selection activeCell="G4" sqref="G4"/>
    </sheetView>
  </sheetViews>
  <sheetFormatPr defaultRowHeight="16.899999999999999" x14ac:dyDescent="0.6"/>
  <cols>
    <col min="2" max="2" width="11.3125" bestFit="1" customWidth="1"/>
    <col min="3" max="6" width="9.0625" bestFit="1" customWidth="1"/>
  </cols>
  <sheetData>
    <row r="1" spans="1:6" x14ac:dyDescent="0.6">
      <c r="A1" t="s">
        <v>0</v>
      </c>
      <c r="B1" t="s">
        <v>26</v>
      </c>
      <c r="C1" t="s">
        <v>1</v>
      </c>
      <c r="D1" t="s">
        <v>2</v>
      </c>
      <c r="E1" t="s">
        <v>24</v>
      </c>
      <c r="F1" t="s">
        <v>25</v>
      </c>
    </row>
    <row r="2" spans="1:6" x14ac:dyDescent="0.6">
      <c r="A2" t="s">
        <v>32</v>
      </c>
      <c r="B2" s="1">
        <v>82045350</v>
      </c>
      <c r="C2" s="2">
        <v>80</v>
      </c>
      <c r="D2" s="2">
        <v>80</v>
      </c>
      <c r="E2" s="2">
        <f>(C2*2+C3*2)</f>
        <v>188</v>
      </c>
      <c r="F2" s="2">
        <f>E2*100000000/B2*10</f>
        <v>2291.4156621917023</v>
      </c>
    </row>
    <row r="3" spans="1:6" x14ac:dyDescent="0.6">
      <c r="A3" t="s">
        <v>31</v>
      </c>
      <c r="B3" s="1">
        <v>82045350</v>
      </c>
      <c r="C3" s="2">
        <v>14</v>
      </c>
      <c r="D3" s="2">
        <v>17</v>
      </c>
      <c r="E3" s="2">
        <f>(C3*2+C2*2)</f>
        <v>188</v>
      </c>
      <c r="F3" s="2">
        <f>E3*100000000/B3*10</f>
        <v>2291.4156621917023</v>
      </c>
    </row>
    <row r="4" spans="1:6" x14ac:dyDescent="0.6">
      <c r="A4" t="s">
        <v>27</v>
      </c>
      <c r="B4" s="1">
        <v>82045350</v>
      </c>
      <c r="C4" s="2">
        <v>2</v>
      </c>
      <c r="D4" s="2">
        <v>2</v>
      </c>
      <c r="E4" s="2">
        <f>(C4*2+C5*2)</f>
        <v>27.2</v>
      </c>
      <c r="F4" s="2">
        <f>E4*100000000/B4*10</f>
        <v>331.52396814688461</v>
      </c>
    </row>
    <row r="5" spans="1:6" x14ac:dyDescent="0.6">
      <c r="A5" t="s">
        <v>28</v>
      </c>
      <c r="B5" s="1">
        <v>82045350</v>
      </c>
      <c r="C5" s="2">
        <v>11.6</v>
      </c>
      <c r="D5" s="2">
        <v>168</v>
      </c>
      <c r="E5" s="2">
        <f>(C4*2+C5*2)</f>
        <v>27.2</v>
      </c>
      <c r="F5" s="2">
        <f t="shared" ref="F5:F7" si="0">E5*100000000/B5*10</f>
        <v>331.52396814688461</v>
      </c>
    </row>
    <row r="6" spans="1:6" x14ac:dyDescent="0.6">
      <c r="A6" t="s">
        <v>29</v>
      </c>
      <c r="B6" s="1">
        <v>82045350</v>
      </c>
      <c r="C6" s="2">
        <v>48.9</v>
      </c>
      <c r="D6" s="2">
        <v>26</v>
      </c>
      <c r="E6" s="2">
        <f t="shared" ref="E6:E27" si="1">(C5*2+C6*2)</f>
        <v>121</v>
      </c>
      <c r="F6" s="2">
        <f t="shared" si="0"/>
        <v>1474.7941230063616</v>
      </c>
    </row>
    <row r="7" spans="1:6" x14ac:dyDescent="0.6">
      <c r="A7" t="s">
        <v>30</v>
      </c>
      <c r="B7" s="1">
        <v>82045350</v>
      </c>
      <c r="C7" s="2">
        <v>43.6</v>
      </c>
      <c r="D7" s="2">
        <v>15.1</v>
      </c>
      <c r="E7" s="2">
        <f t="shared" si="1"/>
        <v>185</v>
      </c>
      <c r="F7" s="2">
        <f t="shared" si="0"/>
        <v>2254.8505186460902</v>
      </c>
    </row>
    <row r="8" spans="1:6" x14ac:dyDescent="0.6">
      <c r="A8" t="s">
        <v>3</v>
      </c>
      <c r="B8" s="1">
        <v>82045350</v>
      </c>
      <c r="C8" s="2">
        <v>-15</v>
      </c>
      <c r="D8" s="2">
        <v>-16.399999999999999</v>
      </c>
      <c r="E8" s="2">
        <f t="shared" si="1"/>
        <v>57.2</v>
      </c>
      <c r="F8" s="2">
        <f>E8*100000000/B8*15</f>
        <v>1045.763105404511</v>
      </c>
    </row>
    <row r="9" spans="1:6" x14ac:dyDescent="0.6">
      <c r="A9" t="s">
        <v>4</v>
      </c>
      <c r="B9" s="1">
        <v>82045350</v>
      </c>
      <c r="C9" s="2">
        <v>11</v>
      </c>
      <c r="D9" s="2">
        <v>57.1</v>
      </c>
      <c r="E9" s="2">
        <f t="shared" si="1"/>
        <v>-8</v>
      </c>
      <c r="F9" s="2">
        <f t="shared" ref="F9:F27" si="2">E9*100000000/B9*15</f>
        <v>-146.26057418244909</v>
      </c>
    </row>
    <row r="10" spans="1:6" x14ac:dyDescent="0.6">
      <c r="A10" t="s">
        <v>5</v>
      </c>
      <c r="B10" s="1">
        <v>82045350</v>
      </c>
      <c r="C10" s="2">
        <v>-5</v>
      </c>
      <c r="D10" s="2">
        <v>-15</v>
      </c>
      <c r="E10" s="2">
        <f t="shared" si="1"/>
        <v>12</v>
      </c>
      <c r="F10" s="2">
        <f t="shared" si="2"/>
        <v>219.39086127367366</v>
      </c>
    </row>
    <row r="11" spans="1:6" x14ac:dyDescent="0.6">
      <c r="A11" t="s">
        <v>6</v>
      </c>
      <c r="B11" s="1">
        <v>82045350</v>
      </c>
      <c r="C11" s="2">
        <v>100</v>
      </c>
      <c r="D11" s="2">
        <v>89</v>
      </c>
      <c r="E11" s="2">
        <f t="shared" si="1"/>
        <v>190</v>
      </c>
      <c r="F11" s="2">
        <f t="shared" si="2"/>
        <v>3473.6886368331661</v>
      </c>
    </row>
    <row r="12" spans="1:6" x14ac:dyDescent="0.6">
      <c r="A12" t="s">
        <v>7</v>
      </c>
      <c r="B12" s="1">
        <v>82045350</v>
      </c>
      <c r="C12" s="2">
        <v>1</v>
      </c>
      <c r="D12" s="2">
        <v>13</v>
      </c>
      <c r="E12" s="2">
        <f t="shared" si="1"/>
        <v>202</v>
      </c>
      <c r="F12" s="2">
        <f t="shared" si="2"/>
        <v>3693.0794981068393</v>
      </c>
    </row>
    <row r="13" spans="1:6" x14ac:dyDescent="0.6">
      <c r="A13" t="s">
        <v>8</v>
      </c>
      <c r="B13" s="1">
        <v>82045350</v>
      </c>
      <c r="C13" s="2">
        <v>56</v>
      </c>
      <c r="D13" s="2">
        <v>45</v>
      </c>
      <c r="E13" s="2">
        <f t="shared" si="1"/>
        <v>114</v>
      </c>
      <c r="F13" s="2">
        <f t="shared" si="2"/>
        <v>2084.2131820998998</v>
      </c>
    </row>
    <row r="14" spans="1:6" x14ac:dyDescent="0.6">
      <c r="A14" t="s">
        <v>9</v>
      </c>
      <c r="B14" s="1">
        <v>82045350</v>
      </c>
      <c r="C14" s="2">
        <v>5</v>
      </c>
      <c r="D14" s="2">
        <v>7</v>
      </c>
      <c r="E14" s="2">
        <f t="shared" si="1"/>
        <v>122</v>
      </c>
      <c r="F14" s="2">
        <f t="shared" si="2"/>
        <v>2230.4737562823489</v>
      </c>
    </row>
    <row r="15" spans="1:6" x14ac:dyDescent="0.6">
      <c r="A15" t="s">
        <v>10</v>
      </c>
      <c r="B15" s="1">
        <v>82045350</v>
      </c>
      <c r="C15" s="2">
        <v>-1</v>
      </c>
      <c r="D15" s="2">
        <v>28</v>
      </c>
      <c r="E15" s="2">
        <f t="shared" si="1"/>
        <v>8</v>
      </c>
      <c r="F15" s="2">
        <f t="shared" si="2"/>
        <v>146.26057418244909</v>
      </c>
    </row>
    <row r="16" spans="1:6" x14ac:dyDescent="0.6">
      <c r="A16" t="s">
        <v>11</v>
      </c>
      <c r="B16" s="1">
        <v>82045350</v>
      </c>
      <c r="C16" s="2">
        <v>25</v>
      </c>
      <c r="D16" s="2">
        <v>48</v>
      </c>
      <c r="E16" s="2">
        <f t="shared" si="1"/>
        <v>48</v>
      </c>
      <c r="F16" s="2">
        <f t="shared" si="2"/>
        <v>877.56344509469466</v>
      </c>
    </row>
    <row r="17" spans="1:6" x14ac:dyDescent="0.6">
      <c r="A17" t="s">
        <v>12</v>
      </c>
      <c r="B17" s="1">
        <v>82045350</v>
      </c>
      <c r="C17" s="2">
        <v>67</v>
      </c>
      <c r="D17" s="2">
        <v>50</v>
      </c>
      <c r="E17" s="2">
        <f t="shared" si="1"/>
        <v>184</v>
      </c>
      <c r="F17" s="2">
        <f t="shared" si="2"/>
        <v>3363.9932061963291</v>
      </c>
    </row>
    <row r="18" spans="1:6" x14ac:dyDescent="0.6">
      <c r="A18" t="s">
        <v>13</v>
      </c>
      <c r="B18" s="1">
        <v>82045350</v>
      </c>
      <c r="C18" s="2">
        <v>49</v>
      </c>
      <c r="D18" s="2">
        <v>53</v>
      </c>
      <c r="E18" s="2">
        <f t="shared" si="1"/>
        <v>232</v>
      </c>
      <c r="F18" s="2">
        <f t="shared" si="2"/>
        <v>4241.5566512910236</v>
      </c>
    </row>
    <row r="19" spans="1:6" x14ac:dyDescent="0.6">
      <c r="A19" t="s">
        <v>14</v>
      </c>
      <c r="B19" s="1">
        <v>82045350</v>
      </c>
      <c r="C19" s="2">
        <v>88</v>
      </c>
      <c r="D19" s="2">
        <v>74</v>
      </c>
      <c r="E19" s="2">
        <f t="shared" si="1"/>
        <v>274</v>
      </c>
      <c r="F19" s="2">
        <f t="shared" si="2"/>
        <v>5009.424665748882</v>
      </c>
    </row>
    <row r="20" spans="1:6" x14ac:dyDescent="0.6">
      <c r="A20" t="s">
        <v>15</v>
      </c>
      <c r="B20" s="1">
        <v>82045350</v>
      </c>
      <c r="C20" s="2">
        <v>160</v>
      </c>
      <c r="D20" s="2">
        <v>167</v>
      </c>
      <c r="E20" s="2">
        <f t="shared" si="1"/>
        <v>496</v>
      </c>
      <c r="F20" s="2">
        <f t="shared" si="2"/>
        <v>9068.1555993118454</v>
      </c>
    </row>
    <row r="21" spans="1:6" x14ac:dyDescent="0.6">
      <c r="A21" t="s">
        <v>16</v>
      </c>
      <c r="B21" s="1">
        <v>82045350</v>
      </c>
      <c r="C21" s="2">
        <v>92</v>
      </c>
      <c r="D21" s="2">
        <v>65</v>
      </c>
      <c r="E21" s="2">
        <f t="shared" si="1"/>
        <v>504</v>
      </c>
      <c r="F21" s="2">
        <f t="shared" si="2"/>
        <v>9214.4161734942918</v>
      </c>
    </row>
    <row r="22" spans="1:6" x14ac:dyDescent="0.6">
      <c r="A22" t="s">
        <v>17</v>
      </c>
      <c r="B22" s="1">
        <v>82045350</v>
      </c>
      <c r="C22" s="2">
        <v>186</v>
      </c>
      <c r="D22" s="2">
        <v>195</v>
      </c>
      <c r="E22" s="2">
        <f t="shared" si="1"/>
        <v>556</v>
      </c>
      <c r="F22" s="2">
        <f t="shared" si="2"/>
        <v>10165.109905680212</v>
      </c>
    </row>
    <row r="23" spans="1:6" x14ac:dyDescent="0.6">
      <c r="A23" t="s">
        <v>18</v>
      </c>
      <c r="B23" s="1">
        <v>82045350</v>
      </c>
      <c r="C23" s="2">
        <v>170</v>
      </c>
      <c r="D23" s="2">
        <v>150</v>
      </c>
      <c r="E23" s="2">
        <f t="shared" si="1"/>
        <v>712</v>
      </c>
      <c r="F23" s="2">
        <f t="shared" si="2"/>
        <v>13017.19110223797</v>
      </c>
    </row>
    <row r="24" spans="1:6" x14ac:dyDescent="0.6">
      <c r="A24" t="s">
        <v>19</v>
      </c>
      <c r="B24" s="1">
        <v>82045350</v>
      </c>
      <c r="C24" s="2">
        <v>98</v>
      </c>
      <c r="D24" s="2">
        <v>99</v>
      </c>
      <c r="E24" s="2">
        <f t="shared" si="1"/>
        <v>536</v>
      </c>
      <c r="F24" s="2">
        <f t="shared" si="2"/>
        <v>9799.4584702240882</v>
      </c>
    </row>
    <row r="25" spans="1:6" x14ac:dyDescent="0.6">
      <c r="A25" t="s">
        <v>20</v>
      </c>
      <c r="B25" s="1">
        <v>82045350</v>
      </c>
      <c r="C25" s="2">
        <v>92</v>
      </c>
      <c r="D25" s="2">
        <v>76</v>
      </c>
      <c r="E25" s="2">
        <f t="shared" si="1"/>
        <v>380</v>
      </c>
      <c r="F25" s="2">
        <f t="shared" si="2"/>
        <v>6947.3772736663323</v>
      </c>
    </row>
    <row r="26" spans="1:6" x14ac:dyDescent="0.6">
      <c r="A26" t="s">
        <v>21</v>
      </c>
      <c r="B26" s="1">
        <v>82045350</v>
      </c>
      <c r="C26" s="2">
        <v>51</v>
      </c>
      <c r="D26" s="2">
        <v>42</v>
      </c>
      <c r="E26" s="2">
        <f t="shared" si="1"/>
        <v>286</v>
      </c>
      <c r="F26" s="2">
        <f t="shared" si="2"/>
        <v>5228.8155270225552</v>
      </c>
    </row>
    <row r="27" spans="1:6" x14ac:dyDescent="0.6">
      <c r="A27" t="s">
        <v>22</v>
      </c>
      <c r="B27" s="1">
        <v>82045350</v>
      </c>
      <c r="C27" s="2">
        <v>70</v>
      </c>
      <c r="D27" s="2">
        <v>49</v>
      </c>
      <c r="E27" s="2">
        <f t="shared" si="1"/>
        <v>242</v>
      </c>
      <c r="F27" s="2">
        <f t="shared" si="2"/>
        <v>4424.3823690190848</v>
      </c>
    </row>
    <row r="28" spans="1:6" x14ac:dyDescent="0.6">
      <c r="A28" t="s">
        <v>23</v>
      </c>
      <c r="B28" s="1">
        <v>82045350</v>
      </c>
      <c r="C28" s="2">
        <v>35</v>
      </c>
      <c r="D28" s="2">
        <v>37</v>
      </c>
      <c r="E28" s="2"/>
      <c r="F28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와이씨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2025-01-28T10:57:12Z</dcterms:created>
  <dcterms:modified xsi:type="dcterms:W3CDTF">2026-05-06T14:38:38Z</dcterms:modified>
</cp:coreProperties>
</file>