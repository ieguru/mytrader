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31CBF48D-4980-4B8E-A658-E7557D13B357}" xr6:coauthVersionLast="47" xr6:coauthVersionMax="47" xr10:uidLastSave="{00000000-0000-0000-0000-000000000000}"/>
  <bookViews>
    <workbookView xWindow="28702" yWindow="-98" windowWidth="28995" windowHeight="16395" xr2:uid="{EB6E4689-50ED-4EEE-A8CD-43C5384F692E}"/>
  </bookViews>
  <sheets>
    <sheet name="LIG넥스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<sst xmlns="http://schemas.openxmlformats.org/spreadsheetml/2006/main" count="28" uniqueCount="28">
  <si>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</si>
  <si>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</si>
  <si>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</si>
  <si>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</si>
  <si>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</si>
  <si>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</si>
  <si>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</si>
  <si>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</si>
  <si>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</si>
  <si>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</si>
  <si>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</si>
  <si>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</si>
  <si>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</si>
  <si>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</si>
  <si>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</si>
  <si>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</si>
  <si>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</si>
  <si>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</si>
  <si>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</si>
  <si>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</si>
  <si>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</si>
  <si>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</si>
  <si>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</si>
  <si>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</si>
  <si>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  <phoneticPr fontId="18" type="noConversion"/>
  </si>
  <si>
    <t>4Q_income</t>
  </si>
  <si>
    <t>목표가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</si>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</sst>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4A4-31AA-455D-A1CB-549A6A0C35DD}">
  <dimension ref="A1:F23"/>
  <sheetViews>
    <sheetView tabSelected="1" workbookViewId="0">
      <selection activeCell="H11" sqref="H11"/>
    </sheetView>
  </sheetViews>
  <sheetFormatPr defaultRowHeight="16.899999999999999" x14ac:dyDescent="0.6"/>
  <cols>
    <col min="2" max="2" width="11.375" bestFit="1" customWidth="1"/>
  </cols>
  <sheetData>
    <row r="1" spans="1:6" x14ac:dyDescent="0.6">
      <c r="A1" t="s">
        <v>0</v>
      </c>
      <c r="B1" t="s">
        <v>27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24</v>
      </c>
      <c r="B2" s="1">
        <v>22000000</v>
      </c>
      <c r="C2">
        <v>687</v>
      </c>
      <c r="D2">
        <v>567</v>
      </c>
      <c r="E2">
        <f>SUM(C2:C5)</f>
        <v>2370</v>
      </c>
      <c r="F2" s="2">
        <f>E2*100000000/B2*15</f>
        <v>161590.90909090909</v>
      </c>
    </row>
    <row r="3" spans="1:6" x14ac:dyDescent="0.6">
      <c r="A3" t="s">
        <v>3</v>
      </c>
      <c r="B3" s="1">
        <v>22000000</v>
      </c>
      <c r="C3">
        <v>635</v>
      </c>
      <c r="D3">
        <v>490</v>
      </c>
      <c r="E3">
        <f t="shared" ref="E3:E21" si="0">SUM(C3:C6)</f>
        <v>2174</v>
      </c>
      <c r="F3" s="2">
        <f t="shared" ref="F3:F21" si="1">E3*100000000/B3*15</f>
        <v>148227.27272727274</v>
      </c>
    </row>
    <row r="4" spans="1:6" x14ac:dyDescent="0.6">
      <c r="A4" t="s">
        <v>4</v>
      </c>
      <c r="B4" s="1">
        <v>22000000</v>
      </c>
      <c r="C4">
        <v>529</v>
      </c>
      <c r="D4">
        <v>197</v>
      </c>
      <c r="E4">
        <f t="shared" si="0"/>
        <v>2209</v>
      </c>
      <c r="F4" s="2">
        <f t="shared" si="1"/>
        <v>150613.63636363635</v>
      </c>
    </row>
    <row r="5" spans="1:6" x14ac:dyDescent="0.6">
      <c r="A5" t="s">
        <v>5</v>
      </c>
      <c r="B5" s="1">
        <v>22000000</v>
      </c>
      <c r="C5">
        <v>519</v>
      </c>
      <c r="D5">
        <v>407</v>
      </c>
      <c r="E5">
        <f t="shared" si="0"/>
        <v>2049</v>
      </c>
      <c r="F5" s="2">
        <f t="shared" si="1"/>
        <v>139704.54545454547</v>
      </c>
    </row>
    <row r="6" spans="1:6" x14ac:dyDescent="0.6">
      <c r="A6" t="s">
        <v>6</v>
      </c>
      <c r="B6" s="1">
        <v>22000000</v>
      </c>
      <c r="C6">
        <v>491</v>
      </c>
      <c r="D6">
        <v>457</v>
      </c>
      <c r="E6">
        <f t="shared" si="0"/>
        <v>1941</v>
      </c>
      <c r="F6" s="2">
        <f t="shared" si="1"/>
        <v>132340.90909090909</v>
      </c>
    </row>
    <row r="7" spans="1:6" x14ac:dyDescent="0.6">
      <c r="A7" t="s">
        <v>7</v>
      </c>
      <c r="B7" s="1">
        <v>22000000</v>
      </c>
      <c r="C7">
        <v>670</v>
      </c>
      <c r="D7">
        <v>606</v>
      </c>
      <c r="E7">
        <f t="shared" si="0"/>
        <v>1852</v>
      </c>
      <c r="F7" s="2">
        <f t="shared" si="1"/>
        <v>126272.72727272726</v>
      </c>
    </row>
    <row r="8" spans="1:6" x14ac:dyDescent="0.6">
      <c r="A8" t="s">
        <v>8</v>
      </c>
      <c r="B8" s="1">
        <v>22000000</v>
      </c>
      <c r="C8">
        <v>369</v>
      </c>
      <c r="D8">
        <v>498</v>
      </c>
      <c r="E8">
        <f t="shared" si="0"/>
        <v>1864</v>
      </c>
      <c r="F8" s="2">
        <f t="shared" si="1"/>
        <v>127090.90909090909</v>
      </c>
    </row>
    <row r="9" spans="1:6" x14ac:dyDescent="0.6">
      <c r="A9" t="s">
        <v>9</v>
      </c>
      <c r="B9" s="1">
        <v>22000000</v>
      </c>
      <c r="C9">
        <v>411</v>
      </c>
      <c r="D9">
        <v>339</v>
      </c>
      <c r="E9">
        <f t="shared" si="0"/>
        <v>1726</v>
      </c>
      <c r="F9" s="2">
        <f t="shared" si="1"/>
        <v>117681.81818181818</v>
      </c>
    </row>
    <row r="10" spans="1:6" x14ac:dyDescent="0.6">
      <c r="A10" t="s">
        <v>10</v>
      </c>
      <c r="B10" s="1">
        <v>22000000</v>
      </c>
      <c r="C10" s="1">
        <v>402</v>
      </c>
      <c r="D10" s="1">
        <v>316</v>
      </c>
      <c r="E10">
        <f t="shared" si="0"/>
        <v>1898</v>
      </c>
      <c r="F10" s="2">
        <f t="shared" si="1"/>
        <v>129409.09090909091</v>
      </c>
    </row>
    <row r="11" spans="1:6" x14ac:dyDescent="0.6">
      <c r="A11" t="s">
        <v>11</v>
      </c>
      <c r="B11" s="1">
        <v>22000000</v>
      </c>
      <c r="C11" s="1">
        <v>682</v>
      </c>
      <c r="D11" s="1">
        <v>597</v>
      </c>
      <c r="E11">
        <f t="shared" si="0"/>
        <v>1968</v>
      </c>
      <c r="F11" s="2">
        <f t="shared" si="1"/>
        <v>134181.81818181818</v>
      </c>
    </row>
    <row r="12" spans="1:6" x14ac:dyDescent="0.6">
      <c r="A12" t="s">
        <v>12</v>
      </c>
      <c r="B12" s="1">
        <v>22000000</v>
      </c>
      <c r="C12">
        <v>231</v>
      </c>
      <c r="D12">
        <v>-385</v>
      </c>
      <c r="E12">
        <f t="shared" si="0"/>
        <v>1791</v>
      </c>
      <c r="F12" s="2">
        <f t="shared" si="1"/>
        <v>122113.63636363637</v>
      </c>
    </row>
    <row r="13" spans="1:6" x14ac:dyDescent="0.6">
      <c r="A13" t="s">
        <v>13</v>
      </c>
      <c r="B13" s="1">
        <v>22000000</v>
      </c>
      <c r="C13">
        <v>583</v>
      </c>
      <c r="D13">
        <v>755</v>
      </c>
      <c r="E13">
        <f t="shared" si="0"/>
        <v>1761</v>
      </c>
      <c r="F13" s="2">
        <f t="shared" si="1"/>
        <v>120068.18181818182</v>
      </c>
    </row>
    <row r="14" spans="1:6" x14ac:dyDescent="0.6">
      <c r="A14" t="s">
        <v>14</v>
      </c>
      <c r="B14" s="1">
        <v>22000000</v>
      </c>
      <c r="C14">
        <v>472</v>
      </c>
      <c r="D14">
        <v>442</v>
      </c>
      <c r="E14">
        <f t="shared" si="0"/>
        <v>1533</v>
      </c>
      <c r="F14" s="2">
        <f t="shared" si="1"/>
        <v>104522.72727272726</v>
      </c>
    </row>
    <row r="15" spans="1:6" x14ac:dyDescent="0.6">
      <c r="A15" t="s">
        <v>15</v>
      </c>
      <c r="B15" s="1">
        <v>22000000</v>
      </c>
      <c r="C15" s="1">
        <v>505</v>
      </c>
      <c r="D15">
        <v>417</v>
      </c>
      <c r="E15">
        <f t="shared" si="0"/>
        <v>1349</v>
      </c>
      <c r="F15" s="2">
        <f t="shared" si="1"/>
        <v>91977.272727272735</v>
      </c>
    </row>
    <row r="16" spans="1:6" x14ac:dyDescent="0.6">
      <c r="A16" t="s">
        <v>16</v>
      </c>
      <c r="B16" s="1">
        <v>22000000</v>
      </c>
      <c r="C16">
        <v>201</v>
      </c>
      <c r="D16" s="1">
        <v>220</v>
      </c>
      <c r="E16">
        <f t="shared" si="0"/>
        <v>972</v>
      </c>
      <c r="F16" s="2">
        <f t="shared" si="1"/>
        <v>66272.727272727265</v>
      </c>
    </row>
    <row r="17" spans="1:6" x14ac:dyDescent="0.6">
      <c r="A17" t="s">
        <v>17</v>
      </c>
      <c r="B17" s="1">
        <v>22000000</v>
      </c>
      <c r="C17">
        <v>355</v>
      </c>
      <c r="D17">
        <v>407</v>
      </c>
      <c r="E17">
        <f t="shared" si="0"/>
        <v>981</v>
      </c>
      <c r="F17" s="2">
        <f t="shared" si="1"/>
        <v>66886.363636363632</v>
      </c>
    </row>
    <row r="18" spans="1:6" x14ac:dyDescent="0.6">
      <c r="A18" t="s">
        <v>18</v>
      </c>
      <c r="B18" s="1">
        <v>22000000</v>
      </c>
      <c r="C18">
        <v>288</v>
      </c>
      <c r="D18" s="1">
        <v>224</v>
      </c>
      <c r="E18">
        <f t="shared" si="0"/>
        <v>708</v>
      </c>
      <c r="F18" s="2">
        <f t="shared" si="1"/>
        <v>48272.727272727272</v>
      </c>
    </row>
    <row r="19" spans="1:6" x14ac:dyDescent="0.6">
      <c r="A19" t="s">
        <v>19</v>
      </c>
      <c r="B19" s="1">
        <v>22000000</v>
      </c>
      <c r="C19" s="1">
        <v>128</v>
      </c>
      <c r="D19" s="1">
        <v>199</v>
      </c>
      <c r="E19">
        <f t="shared" si="0"/>
        <v>498</v>
      </c>
      <c r="F19" s="2">
        <f t="shared" si="1"/>
        <v>33954.545454545456</v>
      </c>
    </row>
    <row r="20" spans="1:6" x14ac:dyDescent="0.6">
      <c r="A20" t="s">
        <v>20</v>
      </c>
      <c r="B20" s="1">
        <v>22000000</v>
      </c>
      <c r="C20" s="1">
        <v>210</v>
      </c>
      <c r="D20">
        <v>114</v>
      </c>
      <c r="E20">
        <f t="shared" si="0"/>
        <v>638</v>
      </c>
      <c r="F20" s="2">
        <f t="shared" si="1"/>
        <v>43500</v>
      </c>
    </row>
    <row r="21" spans="1:6" x14ac:dyDescent="0.6">
      <c r="A21" t="s">
        <v>21</v>
      </c>
      <c r="B21" s="1">
        <v>22000000</v>
      </c>
      <c r="C21" s="1">
        <v>82</v>
      </c>
      <c r="D21">
        <v>132</v>
      </c>
      <c r="E21">
        <f t="shared" si="0"/>
        <v>428</v>
      </c>
      <c r="F21" s="2">
        <f t="shared" si="1"/>
        <v>29181.818181818184</v>
      </c>
    </row>
    <row r="22" spans="1:6" x14ac:dyDescent="0.6">
      <c r="A22" t="s">
        <v>22</v>
      </c>
      <c r="B22" s="1">
        <v>22000000</v>
      </c>
      <c r="C22" s="1">
        <v>78</v>
      </c>
      <c r="D22">
        <v>107</v>
      </c>
      <c r="F22" s="2"/>
    </row>
    <row r="23" spans="1:6" x14ac:dyDescent="0.6">
      <c r="A23" t="s">
        <v>23</v>
      </c>
      <c r="B23" s="1">
        <v>22000000</v>
      </c>
      <c r="C23" s="1">
        <v>268</v>
      </c>
      <c r="D23">
        <v>227</v>
      </c>
    </row>
  </sheetData>
  <phoneticPr fontId="18" type="noConversion"/>
  <pageMargins left="0.7" right="0.7" top="0.75" bottom="0.75" header="0.3" footer="0.3"/>
  <ignoredErrors>
    <ignoredError sqref="E2:E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LIG넥스원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2025-01-29T07:11:20Z</dcterms:created>
  <dcterms:modified xsi:type="dcterms:W3CDTF">2025-02-05T02:25:52Z</dcterms:modified>
</cp:coreProperties>
</file>