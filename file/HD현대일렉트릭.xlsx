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622E30A5-38F1-4A15-A613-E2846A99DD73}" xr6:coauthVersionLast="47" xr6:coauthVersionMax="47" xr10:uidLastSave="{00000000-0000-0000-0000-000000000000}"/>
  <bookViews>
    <workbookView xWindow="35640" yWindow="1882" windowWidth="16943" windowHeight="14318" xr2:uid="{574589F6-5CF4-430A-9C77-3C46C2002903}"/>
  </bookViews>
  <sheets>
    <sheet name="HD현대일렉트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<sst xmlns="http://schemas.openxmlformats.org/spreadsheetml/2006/main" count="28" uniqueCount="28">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</sst>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176" fontId="14" fillId="33" borderId="0" xfId="42" applyNumberFormat="1" applyFont="1" applyFill="1" applyBorder="1">
      <alignment vertical="center"/>
    </xf>
    <xf numFmtId="176" fontId="0" fillId="33" borderId="0" xfId="42" applyNumberFormat="1" applyFont="1" applyFill="1" applyBorder="1">
      <alignment vertical="center"/>
    </xf>
    <xf numFmtId="176" fontId="0" fillId="33" borderId="0" xfId="0" applyNumberForma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7"/>
  <sheetViews>
    <sheetView tabSelected="1" workbookViewId="0">
      <selection activeCell="F2" sqref="F2:F23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10.5625" bestFit="1" customWidth="1"/>
  </cols>
  <sheetData>
    <row r="1" spans="1:6" x14ac:dyDescent="0.6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 x14ac:dyDescent="0.6">
      <c r="A2" s="3" t="s">
        <v>24</v>
      </c>
      <c r="B2" s="4">
        <v>36047135</v>
      </c>
      <c r="C2" s="5">
        <v>9129</v>
      </c>
      <c r="D2" s="5">
        <v>6965.7</v>
      </c>
      <c r="E2" s="6">
        <f>(C2*2+C3*2)</f>
        <v>23698</v>
      </c>
      <c r="F2" s="6">
        <f>E2*100000000/B2*15</f>
        <v>986125.52703564381</v>
      </c>
    </row>
    <row r="3" spans="1:6" x14ac:dyDescent="0.6">
      <c r="A3" s="3" t="s">
        <v>25</v>
      </c>
      <c r="B3" s="4">
        <v>36047135</v>
      </c>
      <c r="C3" s="5">
        <v>2720</v>
      </c>
      <c r="D3" s="5">
        <v>2058</v>
      </c>
      <c r="E3" s="6">
        <f>(C2*2+C3*2)</f>
        <v>23698</v>
      </c>
      <c r="F3" s="6">
        <f t="shared" ref="F3:F23" si="0">E3*100000000/B3*15</f>
        <v>986125.52703564381</v>
      </c>
    </row>
    <row r="4" spans="1:6" x14ac:dyDescent="0.6">
      <c r="A4" s="3" t="s">
        <v>26</v>
      </c>
      <c r="B4" s="4">
        <v>36047135</v>
      </c>
      <c r="C4" s="5">
        <v>2784</v>
      </c>
      <c r="D4" s="5">
        <v>2058</v>
      </c>
      <c r="E4" s="6">
        <f>(C3*2+C4+C2)</f>
        <v>17353</v>
      </c>
      <c r="F4" s="6">
        <f t="shared" si="0"/>
        <v>722096.22207146278</v>
      </c>
    </row>
    <row r="5" spans="1:6" x14ac:dyDescent="0.6">
      <c r="A5" s="3" t="s">
        <v>27</v>
      </c>
      <c r="B5" s="4">
        <v>36047135</v>
      </c>
      <c r="C5" s="5">
        <v>2471</v>
      </c>
      <c r="D5" s="5">
        <v>1911</v>
      </c>
      <c r="E5" s="6">
        <f>(C3+C4+C5*2)</f>
        <v>10446</v>
      </c>
      <c r="F5" s="6">
        <f t="shared" si="0"/>
        <v>434680.86992211727</v>
      </c>
    </row>
    <row r="6" spans="1:6" x14ac:dyDescent="0.6">
      <c r="A6" s="3" t="s">
        <v>20</v>
      </c>
      <c r="B6" s="4">
        <v>36047135</v>
      </c>
      <c r="C6" s="7">
        <v>2091</v>
      </c>
      <c r="D6" s="7">
        <v>1419</v>
      </c>
      <c r="E6" s="6">
        <f t="shared" ref="E6:E23" si="1">(C4+C5+C6*2)</f>
        <v>9437</v>
      </c>
      <c r="F6" s="6">
        <f t="shared" si="0"/>
        <v>392694.17666618997</v>
      </c>
    </row>
    <row r="7" spans="1:6" x14ac:dyDescent="0.6">
      <c r="A7" s="3" t="s">
        <v>3</v>
      </c>
      <c r="B7" s="4">
        <v>36047135</v>
      </c>
      <c r="C7" s="7">
        <v>2182</v>
      </c>
      <c r="D7" s="7">
        <v>1534</v>
      </c>
      <c r="E7" s="6">
        <f t="shared" si="1"/>
        <v>8926</v>
      </c>
      <c r="F7" s="6">
        <f t="shared" si="0"/>
        <v>371430.35084480362</v>
      </c>
    </row>
    <row r="8" spans="1:6" x14ac:dyDescent="0.6">
      <c r="A8" s="3" t="s">
        <v>4</v>
      </c>
      <c r="B8" s="4">
        <v>36047135</v>
      </c>
      <c r="C8" s="7">
        <v>1663</v>
      </c>
      <c r="D8" s="7">
        <v>1272</v>
      </c>
      <c r="E8" s="6">
        <f t="shared" si="1"/>
        <v>7599</v>
      </c>
      <c r="F8" s="6">
        <f t="shared" si="0"/>
        <v>316210.98320296465</v>
      </c>
    </row>
    <row r="9" spans="1:6" x14ac:dyDescent="0.6">
      <c r="A9" s="3" t="s">
        <v>5</v>
      </c>
      <c r="B9" s="4">
        <v>36047135</v>
      </c>
      <c r="C9" s="7">
        <v>1638</v>
      </c>
      <c r="D9" s="7">
        <v>1166</v>
      </c>
      <c r="E9" s="6">
        <f t="shared" si="1"/>
        <v>7121</v>
      </c>
      <c r="F9" s="6">
        <f t="shared" si="0"/>
        <v>296320.35944049369</v>
      </c>
    </row>
    <row r="10" spans="1:6" x14ac:dyDescent="0.6">
      <c r="A10" s="3" t="s">
        <v>6</v>
      </c>
      <c r="B10" s="4">
        <v>36047135</v>
      </c>
      <c r="C10" s="7">
        <v>2101</v>
      </c>
      <c r="D10" s="7">
        <v>1612</v>
      </c>
      <c r="E10" s="6">
        <f t="shared" si="1"/>
        <v>7503</v>
      </c>
      <c r="F10" s="6">
        <f t="shared" si="0"/>
        <v>312216.21357702906</v>
      </c>
    </row>
    <row r="11" spans="1:6" x14ac:dyDescent="0.6">
      <c r="A11" s="3" t="s">
        <v>7</v>
      </c>
      <c r="B11" s="4">
        <v>36047135</v>
      </c>
      <c r="C11" s="7">
        <v>1288</v>
      </c>
      <c r="D11" s="7">
        <v>934</v>
      </c>
      <c r="E11" s="6">
        <f t="shared" si="1"/>
        <v>6315</v>
      </c>
      <c r="F11" s="6">
        <f t="shared" si="0"/>
        <v>262780.93945607601</v>
      </c>
    </row>
    <row r="12" spans="1:6" x14ac:dyDescent="0.6">
      <c r="A12" s="3" t="s">
        <v>8</v>
      </c>
      <c r="B12" s="4">
        <v>36047135</v>
      </c>
      <c r="C12" s="7">
        <v>1246</v>
      </c>
      <c r="D12" s="7">
        <v>1390</v>
      </c>
      <c r="E12" s="6">
        <f t="shared" si="1"/>
        <v>5881</v>
      </c>
      <c r="F12" s="6">
        <f t="shared" si="0"/>
        <v>244721.25177215887</v>
      </c>
    </row>
    <row r="13" spans="1:6" x14ac:dyDescent="0.6">
      <c r="A13" s="3" t="s">
        <v>9</v>
      </c>
      <c r="B13" s="4">
        <v>36047135</v>
      </c>
      <c r="C13" s="7">
        <v>854</v>
      </c>
      <c r="D13" s="7">
        <v>543</v>
      </c>
      <c r="E13" s="6">
        <f t="shared" si="1"/>
        <v>4242</v>
      </c>
      <c r="F13" s="6">
        <f t="shared" si="0"/>
        <v>176518.88284602924</v>
      </c>
    </row>
    <row r="14" spans="1:6" x14ac:dyDescent="0.6">
      <c r="A14" s="3" t="s">
        <v>10</v>
      </c>
      <c r="B14" s="4">
        <v>36047135</v>
      </c>
      <c r="C14" s="7">
        <v>588</v>
      </c>
      <c r="D14" s="7">
        <v>374</v>
      </c>
      <c r="E14" s="6">
        <f t="shared" si="1"/>
        <v>3276</v>
      </c>
      <c r="F14" s="6">
        <f t="shared" si="0"/>
        <v>136321.5134850523</v>
      </c>
    </row>
    <row r="15" spans="1:6" x14ac:dyDescent="0.6">
      <c r="A15" s="3" t="s">
        <v>11</v>
      </c>
      <c r="B15" s="4">
        <v>36047135</v>
      </c>
      <c r="C15" s="7">
        <v>463</v>
      </c>
      <c r="D15" s="7">
        <v>288</v>
      </c>
      <c r="E15" s="6">
        <f t="shared" si="1"/>
        <v>2368</v>
      </c>
      <c r="F15" s="6">
        <f t="shared" si="0"/>
        <v>98537.650773078087</v>
      </c>
    </row>
    <row r="16" spans="1:6" x14ac:dyDescent="0.6">
      <c r="A16" s="3" t="s">
        <v>12</v>
      </c>
      <c r="B16" s="4">
        <v>36047135</v>
      </c>
      <c r="C16" s="7">
        <v>512</v>
      </c>
      <c r="D16" s="7">
        <v>460</v>
      </c>
      <c r="E16" s="6">
        <f t="shared" si="1"/>
        <v>2075</v>
      </c>
      <c r="F16" s="6">
        <f t="shared" si="0"/>
        <v>86345.280977253817</v>
      </c>
    </row>
    <row r="17" spans="1:6" x14ac:dyDescent="0.6">
      <c r="A17" s="3" t="s">
        <v>13</v>
      </c>
      <c r="B17" s="4">
        <v>36047135</v>
      </c>
      <c r="C17" s="7">
        <v>378</v>
      </c>
      <c r="D17" s="7">
        <v>1006</v>
      </c>
      <c r="E17" s="6">
        <f t="shared" si="1"/>
        <v>1731</v>
      </c>
      <c r="F17" s="6">
        <f t="shared" si="0"/>
        <v>72030.689817651248</v>
      </c>
    </row>
    <row r="18" spans="1:6" x14ac:dyDescent="0.6">
      <c r="A18" s="3" t="s">
        <v>14</v>
      </c>
      <c r="B18" s="4">
        <v>36047135</v>
      </c>
      <c r="C18" s="7">
        <v>272</v>
      </c>
      <c r="D18" s="7">
        <v>83</v>
      </c>
      <c r="E18" s="6">
        <f t="shared" si="1"/>
        <v>1434</v>
      </c>
      <c r="F18" s="6">
        <f t="shared" si="0"/>
        <v>59671.871287412992</v>
      </c>
    </row>
    <row r="19" spans="1:6" x14ac:dyDescent="0.6">
      <c r="A19" s="3" t="s">
        <v>15</v>
      </c>
      <c r="B19" s="4">
        <v>36047135</v>
      </c>
      <c r="C19" s="7">
        <v>167</v>
      </c>
      <c r="D19" s="7">
        <v>71</v>
      </c>
      <c r="E19" s="6">
        <f t="shared" si="1"/>
        <v>984</v>
      </c>
      <c r="F19" s="6">
        <f t="shared" si="0"/>
        <v>40946.388665839884</v>
      </c>
    </row>
    <row r="20" spans="1:6" x14ac:dyDescent="0.6">
      <c r="A20" s="3" t="s">
        <v>16</v>
      </c>
      <c r="B20" s="4">
        <v>36047135</v>
      </c>
      <c r="C20" s="7">
        <v>-417</v>
      </c>
      <c r="D20" s="7">
        <v>-672</v>
      </c>
      <c r="E20" s="6">
        <f t="shared" si="1"/>
        <v>-395</v>
      </c>
      <c r="F20" s="6">
        <f t="shared" si="0"/>
        <v>-16436.812523380846</v>
      </c>
    </row>
    <row r="21" spans="1:6" x14ac:dyDescent="0.6">
      <c r="A21" s="3" t="s">
        <v>17</v>
      </c>
      <c r="B21" s="4">
        <v>36047135</v>
      </c>
      <c r="C21" s="7">
        <v>74</v>
      </c>
      <c r="D21" s="7">
        <v>39</v>
      </c>
      <c r="E21" s="6">
        <f t="shared" si="1"/>
        <v>-102</v>
      </c>
      <c r="F21" s="6">
        <f t="shared" si="0"/>
        <v>-4244.4427275565722</v>
      </c>
    </row>
    <row r="22" spans="1:6" x14ac:dyDescent="0.6">
      <c r="A22" s="3" t="s">
        <v>18</v>
      </c>
      <c r="B22" s="4">
        <v>36047135</v>
      </c>
      <c r="C22" s="7">
        <v>265</v>
      </c>
      <c r="D22" s="7">
        <v>140</v>
      </c>
      <c r="E22" s="6">
        <f t="shared" si="1"/>
        <v>187</v>
      </c>
      <c r="F22" s="6">
        <f t="shared" si="0"/>
        <v>7781.4783338537163</v>
      </c>
    </row>
    <row r="23" spans="1:6" x14ac:dyDescent="0.6">
      <c r="A23" s="3" t="s">
        <v>19</v>
      </c>
      <c r="B23" s="4">
        <v>36047135</v>
      </c>
      <c r="C23" s="7">
        <v>175</v>
      </c>
      <c r="D23" s="7">
        <v>156</v>
      </c>
      <c r="E23" s="6">
        <f t="shared" si="1"/>
        <v>689</v>
      </c>
      <c r="F23" s="6">
        <f t="shared" si="0"/>
        <v>28670.794502808614</v>
      </c>
    </row>
    <row r="24" spans="1:6" x14ac:dyDescent="0.6">
      <c r="A24" s="3"/>
      <c r="B24" s="4"/>
      <c r="C24" s="7"/>
      <c r="D24" s="7"/>
      <c r="E24" s="6"/>
      <c r="F24" s="6"/>
    </row>
    <row r="25" spans="1:6" x14ac:dyDescent="0.6">
      <c r="B25" s="1"/>
      <c r="F25" s="2"/>
    </row>
    <row r="26" spans="1:6" x14ac:dyDescent="0.6">
      <c r="B26" s="1"/>
      <c r="F26" s="2"/>
    </row>
    <row r="27" spans="1:6" x14ac:dyDescent="0.6">
      <c r="B27" s="1"/>
      <c r="C27" s="1"/>
      <c r="D2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HD현대일렉트릭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2025-01-31T15:13:54Z</dcterms:created>
  <dcterms:modified xsi:type="dcterms:W3CDTF">2026-01-13T14:36:06Z</dcterms:modified>
</cp:coreProperties>
</file>