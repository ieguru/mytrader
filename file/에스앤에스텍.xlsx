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CAA4FAF0-AE41-42E6-A01A-B2A431D12513}" xr6:coauthVersionLast="47" xr6:coauthVersionMax="47" xr10:uidLastSave="{00000000-0000-0000-0000-000000000000}"/>
  <bookViews>
    <workbookView xWindow="28702" yWindow="-98" windowWidth="28995" windowHeight="16395" xr2:uid="{DA083A8F-9A99-4A58-981A-1E6F0C42539A}"/>
  </bookViews>
  <sheets>
    <sheet name="에스앤에스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2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6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<sst xmlns="http://schemas.openxmlformats.org/spreadsheetml/2006/main" count="33" uniqueCount="33">
  <si>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</si>
  <si>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</si>
  <si>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</si>
  <si>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</si>
  <si>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</si>
  <si>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</si>
  <si>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</si>
  <si>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</si>
  <si>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</si>
  <si>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</si>
  <si>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</si>
  <si>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</si>
  <si>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</si>
  <si>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</si>
  <si>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</si>
  <si>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</si>
  <si>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</si>
  <si>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</si>
  <si>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</si>
  <si>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</si>
  <si>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</si>
  <si>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</si>
  <si>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</si>
  <si>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</si>
  <si>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</si>
  <si>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</si>
  <si>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2025.2Q</t>
    <phoneticPr fontId="18" type="noConversion"/>
  </si>
  <si>
    <t>상장주식수</t>
    <phoneticPr fontId="18" type="noConversion"/>
  </si>
  <si>
    <t>2025.4Q</t>
    <phoneticPr fontId="18" type="noConversion"/>
  </si>
  <si>
    <t>2025.3Q</t>
    <phoneticPr fontId="18" type="noConversion"/>
  </si>
  <si>
    <t>2026.2Q</t>
    <phoneticPr fontId="18" type="noConversion"/>
  </si>
  <si>
    <t>2026.1Q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</si>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</sst>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0" fillId="0" borderId="10" xfId="0" applyBorder="1">
      <alignment vertical="center"/>
    </xf>
    <xf numFmtId="0" fontId="14" fillId="0" borderId="0" xfId="0" applyFont="1">
      <alignment vertical="center"/>
    </xf>
    <xf numFmtId="3" fontId="14" fillId="0" borderId="0" xfId="0" applyNumberFormat="1" applyFont="1">
      <alignment vertical="center"/>
    </xf>
    <xf numFmtId="0" fontId="0" fillId="33" borderId="0" xfId="0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8"/>
  <sheetViews>
    <sheetView tabSelected="1" workbookViewId="0">
      <selection activeCell="F2" sqref="F2:F26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27</v>
      </c>
      <c r="C1" t="s">
        <v>1</v>
      </c>
      <c r="D1" t="s">
        <v>2</v>
      </c>
      <c r="E1" t="s">
        <v>24</v>
      </c>
      <c r="F1" t="s">
        <v>25</v>
      </c>
    </row>
    <row r="2" spans="1:6" x14ac:dyDescent="0.6">
      <c r="A2" s="3" t="s">
        <v>32</v>
      </c>
      <c r="B2" s="1">
        <v>21451447</v>
      </c>
      <c r="C2" s="4">
        <v>157</v>
      </c>
      <c r="D2">
        <v>147</v>
      </c>
      <c r="E2" s="2">
        <f>(C2*2+C3*2)</f>
        <v>628</v>
      </c>
      <c r="F2" s="2">
        <f>E2*100000000/B2*30</f>
        <v>87826.243143411251</v>
      </c>
    </row>
    <row r="3" spans="1:6" x14ac:dyDescent="0.6">
      <c r="A3" s="3" t="s">
        <v>30</v>
      </c>
      <c r="B3" s="1">
        <v>21451447</v>
      </c>
      <c r="C3" s="4">
        <v>157</v>
      </c>
      <c r="D3">
        <v>147</v>
      </c>
      <c r="E3" s="2">
        <f>(C3*2+C4*2)</f>
        <v>600</v>
      </c>
      <c r="F3" s="2">
        <f t="shared" ref="F3:F26" si="0">E3*100000000/B3*30</f>
        <v>83910.423385424772</v>
      </c>
    </row>
    <row r="4" spans="1:6" x14ac:dyDescent="0.6">
      <c r="A4" s="3" t="s">
        <v>31</v>
      </c>
      <c r="B4" s="1">
        <v>21451447</v>
      </c>
      <c r="C4" s="5">
        <v>143</v>
      </c>
      <c r="D4" s="1">
        <v>133</v>
      </c>
      <c r="E4" s="2">
        <f>(C3*2+C4*2)</f>
        <v>600</v>
      </c>
      <c r="F4" s="2">
        <f t="shared" si="0"/>
        <v>83910.423385424772</v>
      </c>
    </row>
    <row r="5" spans="1:6" x14ac:dyDescent="0.6">
      <c r="A5" t="s">
        <v>28</v>
      </c>
      <c r="B5" s="1">
        <v>21451447</v>
      </c>
      <c r="C5" s="6">
        <v>133.1</v>
      </c>
      <c r="D5" s="6">
        <v>234.9</v>
      </c>
      <c r="E5" s="2">
        <f>(C4*2+C5+C3)</f>
        <v>576.1</v>
      </c>
      <c r="F5" s="2">
        <f t="shared" si="0"/>
        <v>80567.991520572017</v>
      </c>
    </row>
    <row r="6" spans="1:6" x14ac:dyDescent="0.6">
      <c r="A6" t="s">
        <v>29</v>
      </c>
      <c r="B6" s="1">
        <v>21451447</v>
      </c>
      <c r="C6" s="6">
        <v>119</v>
      </c>
      <c r="D6" s="6">
        <v>127</v>
      </c>
      <c r="E6" s="2">
        <f>(C4+C5+C6*2)</f>
        <v>514.1</v>
      </c>
      <c r="F6" s="2">
        <f t="shared" si="0"/>
        <v>71897.247770744783</v>
      </c>
    </row>
    <row r="7" spans="1:6" x14ac:dyDescent="0.6">
      <c r="A7" t="s">
        <v>26</v>
      </c>
      <c r="B7" s="1">
        <v>21451447</v>
      </c>
      <c r="C7" s="6">
        <v>132</v>
      </c>
      <c r="D7" s="6">
        <v>101</v>
      </c>
      <c r="E7" s="2">
        <f t="shared" ref="E7:E25" si="1">(C5+C6+C7*2)</f>
        <v>516.1</v>
      </c>
      <c r="F7" s="2">
        <f t="shared" si="0"/>
        <v>72176.949182029537</v>
      </c>
    </row>
    <row r="8" spans="1:6" x14ac:dyDescent="0.6">
      <c r="A8" t="s">
        <v>3</v>
      </c>
      <c r="B8" s="1">
        <v>21451447</v>
      </c>
      <c r="C8" s="6">
        <v>118</v>
      </c>
      <c r="D8" s="6">
        <v>119</v>
      </c>
      <c r="E8" s="2">
        <f t="shared" si="1"/>
        <v>487</v>
      </c>
      <c r="F8" s="2">
        <f t="shared" si="0"/>
        <v>68107.293647836443</v>
      </c>
    </row>
    <row r="9" spans="1:6" x14ac:dyDescent="0.6">
      <c r="A9" t="s">
        <v>4</v>
      </c>
      <c r="B9" s="1">
        <v>21451447</v>
      </c>
      <c r="C9" s="6">
        <v>40</v>
      </c>
      <c r="D9" s="6">
        <v>66.7</v>
      </c>
      <c r="E9" s="2">
        <f t="shared" si="1"/>
        <v>330</v>
      </c>
      <c r="F9" s="2">
        <f t="shared" si="0"/>
        <v>46150.732861983626</v>
      </c>
    </row>
    <row r="10" spans="1:6" x14ac:dyDescent="0.6">
      <c r="A10" t="s">
        <v>5</v>
      </c>
      <c r="B10" s="1">
        <v>21451447</v>
      </c>
      <c r="C10">
        <v>96</v>
      </c>
      <c r="D10">
        <v>82</v>
      </c>
      <c r="E10" s="2">
        <f t="shared" si="1"/>
        <v>350</v>
      </c>
      <c r="F10" s="2">
        <f t="shared" si="0"/>
        <v>48947.746974831112</v>
      </c>
    </row>
    <row r="11" spans="1:6" x14ac:dyDescent="0.6">
      <c r="A11" t="s">
        <v>6</v>
      </c>
      <c r="B11" s="1">
        <v>21451447</v>
      </c>
      <c r="C11">
        <v>85</v>
      </c>
      <c r="D11">
        <v>78</v>
      </c>
      <c r="E11" s="2">
        <f t="shared" si="1"/>
        <v>306</v>
      </c>
      <c r="F11" s="2">
        <f t="shared" si="0"/>
        <v>42794.315926566633</v>
      </c>
    </row>
    <row r="12" spans="1:6" x14ac:dyDescent="0.6">
      <c r="A12" t="s">
        <v>7</v>
      </c>
      <c r="B12" s="1">
        <v>21451447</v>
      </c>
      <c r="C12">
        <v>74</v>
      </c>
      <c r="D12">
        <v>77</v>
      </c>
      <c r="E12" s="2">
        <f t="shared" si="1"/>
        <v>329</v>
      </c>
      <c r="F12" s="2">
        <f t="shared" si="0"/>
        <v>46010.882156341242</v>
      </c>
    </row>
    <row r="13" spans="1:6" x14ac:dyDescent="0.6">
      <c r="A13" t="s">
        <v>8</v>
      </c>
      <c r="B13" s="1">
        <v>21451447</v>
      </c>
      <c r="C13">
        <v>61</v>
      </c>
      <c r="D13">
        <v>58</v>
      </c>
      <c r="E13" s="2">
        <f t="shared" si="1"/>
        <v>281</v>
      </c>
      <c r="F13" s="2">
        <f t="shared" si="0"/>
        <v>39298.048285507262</v>
      </c>
    </row>
    <row r="14" spans="1:6" x14ac:dyDescent="0.6">
      <c r="A14" t="s">
        <v>9</v>
      </c>
      <c r="B14" s="1">
        <v>21451447</v>
      </c>
      <c r="C14">
        <v>57</v>
      </c>
      <c r="D14">
        <v>63</v>
      </c>
      <c r="E14" s="2">
        <f t="shared" si="1"/>
        <v>249</v>
      </c>
      <c r="F14" s="2">
        <f t="shared" si="0"/>
        <v>34822.825704951283</v>
      </c>
    </row>
    <row r="15" spans="1:6" x14ac:dyDescent="0.6">
      <c r="A15" t="s">
        <v>10</v>
      </c>
      <c r="B15" s="1">
        <v>21451447</v>
      </c>
      <c r="C15">
        <v>62</v>
      </c>
      <c r="D15">
        <v>58</v>
      </c>
      <c r="E15" s="2">
        <f t="shared" si="1"/>
        <v>242</v>
      </c>
      <c r="F15" s="2">
        <f t="shared" si="0"/>
        <v>33843.87076545466</v>
      </c>
    </row>
    <row r="16" spans="1:6" x14ac:dyDescent="0.6">
      <c r="A16" t="s">
        <v>11</v>
      </c>
      <c r="B16" s="1">
        <v>21451447</v>
      </c>
      <c r="C16">
        <v>70</v>
      </c>
      <c r="D16">
        <v>80</v>
      </c>
      <c r="E16" s="2">
        <f t="shared" si="1"/>
        <v>259</v>
      </c>
      <c r="F16" s="2">
        <f t="shared" si="0"/>
        <v>36221.332761375023</v>
      </c>
    </row>
    <row r="17" spans="1:6" x14ac:dyDescent="0.6">
      <c r="A17" t="s">
        <v>12</v>
      </c>
      <c r="B17" s="1">
        <v>21451447</v>
      </c>
      <c r="C17">
        <v>41</v>
      </c>
      <c r="D17">
        <v>39</v>
      </c>
      <c r="E17" s="2">
        <f t="shared" si="1"/>
        <v>214</v>
      </c>
      <c r="F17" s="2">
        <f t="shared" si="0"/>
        <v>29928.051007468166</v>
      </c>
    </row>
    <row r="18" spans="1:6" x14ac:dyDescent="0.6">
      <c r="A18" t="s">
        <v>13</v>
      </c>
      <c r="B18" s="1">
        <v>21451447</v>
      </c>
      <c r="C18">
        <v>49</v>
      </c>
      <c r="D18">
        <v>64</v>
      </c>
      <c r="E18" s="2">
        <f t="shared" si="1"/>
        <v>209</v>
      </c>
      <c r="F18" s="2">
        <f t="shared" si="0"/>
        <v>29228.797479256296</v>
      </c>
    </row>
    <row r="19" spans="1:6" x14ac:dyDescent="0.6">
      <c r="A19" t="s">
        <v>14</v>
      </c>
      <c r="B19" s="1">
        <v>21451447</v>
      </c>
      <c r="C19">
        <v>35</v>
      </c>
      <c r="D19">
        <v>34</v>
      </c>
      <c r="E19" s="2">
        <f t="shared" si="1"/>
        <v>160</v>
      </c>
      <c r="F19" s="2">
        <f t="shared" si="0"/>
        <v>22376.11290277994</v>
      </c>
    </row>
    <row r="20" spans="1:6" x14ac:dyDescent="0.6">
      <c r="A20" t="s">
        <v>15</v>
      </c>
      <c r="B20" s="1">
        <v>21451447</v>
      </c>
      <c r="C20">
        <v>35</v>
      </c>
      <c r="D20">
        <v>38</v>
      </c>
      <c r="E20" s="2">
        <f t="shared" si="1"/>
        <v>154</v>
      </c>
      <c r="F20" s="2">
        <f t="shared" si="0"/>
        <v>21537.008668925693</v>
      </c>
    </row>
    <row r="21" spans="1:6" x14ac:dyDescent="0.6">
      <c r="A21" t="s">
        <v>16</v>
      </c>
      <c r="B21" s="1">
        <v>21451447</v>
      </c>
      <c r="C21">
        <v>46</v>
      </c>
      <c r="D21">
        <v>25</v>
      </c>
      <c r="E21" s="2">
        <f t="shared" si="1"/>
        <v>162</v>
      </c>
      <c r="F21" s="2">
        <f t="shared" si="0"/>
        <v>22655.814314064686</v>
      </c>
    </row>
    <row r="22" spans="1:6" x14ac:dyDescent="0.6">
      <c r="A22" t="s">
        <v>17</v>
      </c>
      <c r="B22" s="1">
        <v>21451447</v>
      </c>
      <c r="C22">
        <v>21</v>
      </c>
      <c r="D22">
        <v>23</v>
      </c>
      <c r="E22" s="2">
        <f t="shared" si="1"/>
        <v>123</v>
      </c>
      <c r="F22" s="2">
        <f t="shared" si="0"/>
        <v>17201.636794012076</v>
      </c>
    </row>
    <row r="23" spans="1:6" x14ac:dyDescent="0.6">
      <c r="A23" t="s">
        <v>18</v>
      </c>
      <c r="B23" s="1">
        <v>21451447</v>
      </c>
      <c r="C23">
        <v>28</v>
      </c>
      <c r="D23">
        <v>32</v>
      </c>
      <c r="E23" s="2">
        <f t="shared" si="1"/>
        <v>123</v>
      </c>
      <c r="F23" s="2">
        <f t="shared" si="0"/>
        <v>17201.636794012076</v>
      </c>
    </row>
    <row r="24" spans="1:6" x14ac:dyDescent="0.6">
      <c r="A24" t="s">
        <v>19</v>
      </c>
      <c r="B24" s="1">
        <v>21451447</v>
      </c>
      <c r="C24">
        <v>31</v>
      </c>
      <c r="D24">
        <v>35</v>
      </c>
      <c r="E24" s="2">
        <f t="shared" si="1"/>
        <v>111</v>
      </c>
      <c r="F24" s="2">
        <f t="shared" si="0"/>
        <v>15523.428326303581</v>
      </c>
    </row>
    <row r="25" spans="1:6" x14ac:dyDescent="0.6">
      <c r="A25" t="s">
        <v>20</v>
      </c>
      <c r="B25" s="1">
        <v>21451447</v>
      </c>
      <c r="C25">
        <v>15</v>
      </c>
      <c r="D25">
        <v>21</v>
      </c>
      <c r="E25" s="2">
        <f t="shared" si="1"/>
        <v>89</v>
      </c>
      <c r="F25" s="2">
        <f t="shared" si="0"/>
        <v>12446.712802171342</v>
      </c>
    </row>
    <row r="26" spans="1:6" x14ac:dyDescent="0.6">
      <c r="A26" t="s">
        <v>21</v>
      </c>
      <c r="B26" s="1">
        <v>21451447</v>
      </c>
      <c r="C26">
        <v>19</v>
      </c>
      <c r="D26">
        <v>18</v>
      </c>
      <c r="E26" s="2">
        <f t="shared" ref="E26" si="2">(C25*2+C26*2)</f>
        <v>68</v>
      </c>
      <c r="F26" s="2">
        <f t="shared" si="0"/>
        <v>9509.8479836814731</v>
      </c>
    </row>
    <row r="27" spans="1:6" x14ac:dyDescent="0.6">
      <c r="A27" t="s">
        <v>22</v>
      </c>
      <c r="B27" s="1">
        <v>21451447</v>
      </c>
      <c r="C27">
        <v>38</v>
      </c>
      <c r="D27">
        <v>33</v>
      </c>
      <c r="E27" s="2"/>
      <c r="F27" s="2"/>
    </row>
    <row r="28" spans="1:6" x14ac:dyDescent="0.6">
      <c r="A28" t="s">
        <v>23</v>
      </c>
      <c r="B28" s="1">
        <v>21451447</v>
      </c>
      <c r="C28">
        <v>38</v>
      </c>
      <c r="D28">
        <v>38</v>
      </c>
      <c r="E28" s="2"/>
      <c r="F2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에스앤에스텍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2025-01-30T13:01:03Z</dcterms:created>
  <dcterms:modified xsi:type="dcterms:W3CDTF">2026-05-20T23:33:54Z</dcterms:modified>
</cp:coreProperties>
</file>