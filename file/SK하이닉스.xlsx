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661FCEFF-720F-4A5A-981E-15896AE39EA4}" xr6:coauthVersionLast="47" xr6:coauthVersionMax="47" xr10:uidLastSave="{00000000-0000-0000-0000-000000000000}"/>
  <bookViews>
    <workbookView xWindow="29228" yWindow="1230" windowWidth="16492" windowHeight="14205" xr2:uid="{C8D1CA31-9A8D-48BC-97FC-23CBA29A2F93}"/>
  </bookViews>
  <sheets>
    <sheet name="SK하이닉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4" i="1"/>
  <c r="E2" i="1"/>
</calcChain>
</file>

<file path=xl/sharedStrings.xml><?xml version="1.0" encoding="utf-8"?>
<sst xmlns="http://schemas.openxmlformats.org/spreadsheetml/2006/main" count="34" uniqueCount="34">
  <si>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</si>
  <si>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</si>
  <si>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</si>
  <si>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</si>
  <si>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</si>
  <si>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</si>
  <si>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</si>
  <si>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</si>
  <si>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</si>
  <si>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</si>
  <si>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</si>
  <si>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</si>
  <si>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</si>
  <si>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</si>
  <si>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</si>
  <si>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</si>
  <si>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</si>
  <si>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</si>
  <si>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</si>
  <si>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</si>
  <si>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</si>
  <si>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상장주식수</t>
  </si>
  <si>
    <t>4Q_income</t>
  </si>
  <si>
    <t>목표가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</si>
  <si>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</si>
  <si>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</si>
  <si>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</si>
  <si>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2025.2Q</t>
    <phoneticPr fontId="18" type="noConversion"/>
  </si>
  <si>
    <t>2020.3Q</t>
    <phoneticPr fontId="18" type="noConversion"/>
  </si>
  <si>
    <t>2020.2Q</t>
    <phoneticPr fontId="18" type="noConversion"/>
  </si>
  <si>
    <t>2020.1Q</t>
    <phoneticPr fontId="18" type="noConversion"/>
  </si>
  <si>
    <t>2026.2Q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</si>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</sst>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2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0" fontId="20" fillId="0" borderId="10" xfId="0" applyFont="1" applyBorder="1">
      <alignment vertical="center"/>
    </xf>
    <xf numFmtId="176" fontId="20" fillId="0" borderId="10" xfId="0" applyNumberFormat="1" applyFont="1" applyBorder="1">
      <alignment vertical="center"/>
    </xf>
    <xf numFmtId="176" fontId="20" fillId="0" borderId="10" xfId="42" applyNumberFormat="1" applyFont="1" applyFill="1" applyBorder="1">
      <alignment vertical="center"/>
    </xf>
    <xf numFmtId="176" fontId="20" fillId="0" borderId="0" xfId="0" applyNumberFormat="1" applyFont="1">
      <alignment vertical="center"/>
    </xf>
    <xf numFmtId="176" fontId="19" fillId="33" borderId="10" xfId="42" applyNumberFormat="1" applyFont="1" applyFill="1" applyBorder="1">
      <alignment vertical="center"/>
    </xf>
    <xf numFmtId="176" fontId="19" fillId="34" borderId="10" xfId="42" applyNumberFormat="1" applyFont="1" applyFill="1" applyBorder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58E8-FF85-482C-BAF4-EC0D5C6A9C6E}">
  <dimension ref="A1:F29"/>
  <sheetViews>
    <sheetView tabSelected="1" workbookViewId="0">
      <selection activeCell="I11" sqref="I11"/>
    </sheetView>
  </sheetViews>
  <sheetFormatPr defaultRowHeight="16.899999999999999"/>
  <cols>
    <col min="2" max="2" width="11.5" bestFit="1" customWidth="1"/>
    <col min="3" max="4" width="10.0625" bestFit="1" customWidth="1"/>
    <col min="5" max="5" width="9.375" bestFit="1" customWidth="1"/>
    <col min="6" max="6" width="11.1875" customWidth="1"/>
  </cols>
  <sheetData>
    <row r="1" spans="1:6">
      <c r="A1" s="1" t="s">
        <v>0</v>
      </c>
      <c r="B1" s="1" t="s">
        <v>21</v>
      </c>
      <c r="C1" s="1" t="s">
        <v>1</v>
      </c>
      <c r="D1" s="1" t="s">
        <v>2</v>
      </c>
      <c r="E1" s="1" t="s">
        <v>22</v>
      </c>
      <c r="F1" s="1" t="s">
        <v>23</v>
      </c>
    </row>
    <row r="2" spans="1:6">
      <c r="A2" s="1" t="s">
        <v>33</v>
      </c>
      <c r="B2" s="2">
        <v>712702365</v>
      </c>
      <c r="C2" s="7">
        <v>880508.5</v>
      </c>
      <c r="D2" s="7">
        <v>672645.8</v>
      </c>
      <c r="E2" s="7">
        <f>(C2*2+C3*2)</f>
        <v>3357358.4</v>
      </c>
      <c r="F2" s="7">
        <f>E2*100000000/B2*6</f>
        <v>2826446.4086631732</v>
      </c>
    </row>
    <row r="3" spans="1:6">
      <c r="A3" s="3" t="s">
        <v>32</v>
      </c>
      <c r="B3" s="4">
        <v>712702365</v>
      </c>
      <c r="C3" s="7">
        <v>798170.7</v>
      </c>
      <c r="D3" s="7">
        <v>634869.1</v>
      </c>
      <c r="E3" s="7">
        <f>(C3*2+C2*2)</f>
        <v>3357358.4</v>
      </c>
      <c r="F3" s="7">
        <f t="shared" ref="F3:F27" si="0">E3*100000000/B3*6</f>
        <v>2826446.4086631732</v>
      </c>
    </row>
    <row r="4" spans="1:6">
      <c r="A4" s="3" t="s">
        <v>31</v>
      </c>
      <c r="B4" s="4">
        <v>712702365</v>
      </c>
      <c r="C4" s="7">
        <v>637333.9</v>
      </c>
      <c r="D4" s="7">
        <v>510080.9</v>
      </c>
      <c r="E4" s="5">
        <f>(C4+C3*2+C2)</f>
        <v>3114183.8</v>
      </c>
      <c r="F4" s="7">
        <f t="shared" si="0"/>
        <v>2621725.9430589937</v>
      </c>
    </row>
    <row r="5" spans="1:6">
      <c r="A5" s="3" t="s">
        <v>26</v>
      </c>
      <c r="B5" s="4">
        <v>712702365</v>
      </c>
      <c r="C5" s="5">
        <v>376102.8</v>
      </c>
      <c r="D5" s="5">
        <v>403301.8</v>
      </c>
      <c r="E5" s="5">
        <f t="shared" ref="E5:E27" si="1">(C5+C4*2+C3)</f>
        <v>2448941.2999999998</v>
      </c>
      <c r="F5" s="8">
        <f t="shared" si="0"/>
        <v>2061680.7971445413</v>
      </c>
    </row>
    <row r="6" spans="1:6">
      <c r="A6" s="3" t="s">
        <v>25</v>
      </c>
      <c r="B6" s="4">
        <v>728002365</v>
      </c>
      <c r="C6" s="5">
        <v>191695.7</v>
      </c>
      <c r="D6" s="5">
        <v>131957.20000000001</v>
      </c>
      <c r="E6" s="5">
        <f t="shared" si="1"/>
        <v>1581235.2000000002</v>
      </c>
      <c r="F6" s="8">
        <f t="shared" si="0"/>
        <v>1303211.5905282809</v>
      </c>
    </row>
    <row r="7" spans="1:6">
      <c r="A7" s="3" t="s">
        <v>24</v>
      </c>
      <c r="B7" s="4">
        <v>728002365</v>
      </c>
      <c r="C7" s="5">
        <v>113833.9</v>
      </c>
      <c r="D7" s="5">
        <v>125952</v>
      </c>
      <c r="E7" s="5">
        <f t="shared" si="1"/>
        <v>873328.10000000009</v>
      </c>
      <c r="F7" s="8">
        <f t="shared" si="0"/>
        <v>719773.56831800961</v>
      </c>
    </row>
    <row r="8" spans="1:6">
      <c r="A8" s="3" t="s">
        <v>27</v>
      </c>
      <c r="B8" s="4">
        <v>728002365</v>
      </c>
      <c r="C8" s="5">
        <v>92128.5</v>
      </c>
      <c r="D8" s="5">
        <v>69972.3</v>
      </c>
      <c r="E8" s="5">
        <f t="shared" si="1"/>
        <v>511492</v>
      </c>
      <c r="F8" s="8">
        <f t="shared" si="0"/>
        <v>421557.97117499745</v>
      </c>
    </row>
    <row r="9" spans="1:6">
      <c r="A9" s="3" t="s">
        <v>3</v>
      </c>
      <c r="B9" s="4">
        <v>728002365</v>
      </c>
      <c r="C9" s="5">
        <v>74405</v>
      </c>
      <c r="D9" s="5">
        <v>81070.8</v>
      </c>
      <c r="E9" s="5">
        <f t="shared" si="1"/>
        <v>372495.9</v>
      </c>
      <c r="F9" s="8">
        <f t="shared" si="0"/>
        <v>307001.11805268656</v>
      </c>
    </row>
    <row r="10" spans="1:6">
      <c r="A10" s="3" t="s">
        <v>4</v>
      </c>
      <c r="B10" s="4">
        <v>728002365</v>
      </c>
      <c r="C10" s="5">
        <v>80079</v>
      </c>
      <c r="D10" s="5">
        <v>80004.800000000003</v>
      </c>
      <c r="E10" s="5">
        <f t="shared" si="1"/>
        <v>321017.5</v>
      </c>
      <c r="F10" s="8">
        <f t="shared" si="0"/>
        <v>264574.0031352783</v>
      </c>
    </row>
    <row r="11" spans="1:6">
      <c r="A11" s="3" t="s">
        <v>5</v>
      </c>
      <c r="B11" s="4">
        <v>728002365</v>
      </c>
      <c r="C11" s="5">
        <v>70300</v>
      </c>
      <c r="D11" s="5">
        <v>57486.8</v>
      </c>
      <c r="E11" s="5">
        <f t="shared" si="1"/>
        <v>304863</v>
      </c>
      <c r="F11" s="8">
        <f t="shared" si="0"/>
        <v>251259.89803618286</v>
      </c>
    </row>
    <row r="12" spans="1:6">
      <c r="A12" s="3" t="s">
        <v>6</v>
      </c>
      <c r="B12" s="4">
        <v>728002365</v>
      </c>
      <c r="C12" s="5">
        <v>54685</v>
      </c>
      <c r="D12" s="5">
        <v>41200</v>
      </c>
      <c r="E12" s="5">
        <f t="shared" si="1"/>
        <v>275364</v>
      </c>
      <c r="F12" s="8">
        <f t="shared" si="0"/>
        <v>226947.61438034615</v>
      </c>
    </row>
    <row r="13" spans="1:6">
      <c r="A13" s="3" t="s">
        <v>7</v>
      </c>
      <c r="B13" s="4">
        <v>728002365</v>
      </c>
      <c r="C13" s="5">
        <v>28860</v>
      </c>
      <c r="D13" s="5">
        <v>19170</v>
      </c>
      <c r="E13" s="5">
        <f t="shared" si="1"/>
        <v>208530</v>
      </c>
      <c r="F13" s="8">
        <f t="shared" si="0"/>
        <v>171864.82629077724</v>
      </c>
    </row>
    <row r="14" spans="1:6">
      <c r="A14" s="3" t="s">
        <v>8</v>
      </c>
      <c r="B14" s="4">
        <v>728002365</v>
      </c>
      <c r="C14" s="5">
        <v>3460</v>
      </c>
      <c r="D14" s="5">
        <v>-13795</v>
      </c>
      <c r="E14" s="5">
        <f t="shared" si="1"/>
        <v>115865</v>
      </c>
      <c r="F14" s="8">
        <f t="shared" si="0"/>
        <v>95492.821647632969</v>
      </c>
    </row>
    <row r="15" spans="1:6">
      <c r="A15" s="3" t="s">
        <v>9</v>
      </c>
      <c r="B15" s="4">
        <v>728002365</v>
      </c>
      <c r="C15" s="5">
        <v>-17920</v>
      </c>
      <c r="D15" s="5">
        <v>-21847</v>
      </c>
      <c r="E15" s="5">
        <f t="shared" si="1"/>
        <v>17860</v>
      </c>
      <c r="F15" s="8">
        <f t="shared" si="0"/>
        <v>14719.73240086933</v>
      </c>
    </row>
    <row r="16" spans="1:6">
      <c r="A16" s="3" t="s">
        <v>10</v>
      </c>
      <c r="B16" s="4">
        <v>728002365</v>
      </c>
      <c r="C16" s="5">
        <v>-28821</v>
      </c>
      <c r="D16" s="5">
        <v>-29879</v>
      </c>
      <c r="E16" s="5">
        <f t="shared" si="1"/>
        <v>-61201</v>
      </c>
      <c r="F16" s="8">
        <f t="shared" si="0"/>
        <v>-50440.220753953181</v>
      </c>
    </row>
    <row r="17" spans="1:6">
      <c r="A17" s="3" t="s">
        <v>11</v>
      </c>
      <c r="B17" s="4">
        <v>728002365</v>
      </c>
      <c r="C17" s="5">
        <v>-34023</v>
      </c>
      <c r="D17" s="5">
        <v>-25855</v>
      </c>
      <c r="E17" s="5">
        <f t="shared" si="1"/>
        <v>-109585</v>
      </c>
      <c r="F17" s="8">
        <f t="shared" si="0"/>
        <v>-90317.014286073099</v>
      </c>
    </row>
    <row r="18" spans="1:6">
      <c r="A18" s="3" t="s">
        <v>12</v>
      </c>
      <c r="B18" s="4">
        <v>728002365</v>
      </c>
      <c r="C18" s="5">
        <v>-18984</v>
      </c>
      <c r="D18" s="5">
        <v>-37207</v>
      </c>
      <c r="E18" s="5">
        <f t="shared" si="1"/>
        <v>-115851</v>
      </c>
      <c r="F18" s="8">
        <f t="shared" si="0"/>
        <v>-95481.283223578532</v>
      </c>
    </row>
    <row r="19" spans="1:6">
      <c r="A19" s="3" t="s">
        <v>13</v>
      </c>
      <c r="B19" s="4">
        <v>728002365</v>
      </c>
      <c r="C19" s="5">
        <v>16556</v>
      </c>
      <c r="D19" s="5">
        <v>11027</v>
      </c>
      <c r="E19" s="5">
        <f t="shared" si="1"/>
        <v>-55435</v>
      </c>
      <c r="F19" s="8">
        <f t="shared" si="0"/>
        <v>-45688.038389820344</v>
      </c>
    </row>
    <row r="20" spans="1:6">
      <c r="A20" s="3" t="s">
        <v>14</v>
      </c>
      <c r="B20" s="4">
        <v>728002365</v>
      </c>
      <c r="C20" s="5">
        <v>41926</v>
      </c>
      <c r="D20" s="5">
        <v>28768</v>
      </c>
      <c r="E20" s="5">
        <f t="shared" si="1"/>
        <v>56054</v>
      </c>
      <c r="F20" s="8">
        <f t="shared" si="0"/>
        <v>46198.201567655618</v>
      </c>
    </row>
    <row r="21" spans="1:6">
      <c r="A21" s="3" t="s">
        <v>15</v>
      </c>
      <c r="B21" s="4">
        <v>728002365</v>
      </c>
      <c r="C21" s="5">
        <v>28596</v>
      </c>
      <c r="D21" s="5">
        <v>19829</v>
      </c>
      <c r="E21" s="5">
        <f t="shared" si="1"/>
        <v>129004</v>
      </c>
      <c r="F21" s="8">
        <f t="shared" si="0"/>
        <v>106321.6326227182</v>
      </c>
    </row>
    <row r="22" spans="1:6">
      <c r="A22" s="3" t="s">
        <v>16</v>
      </c>
      <c r="B22" s="4">
        <v>728002365</v>
      </c>
      <c r="C22" s="5">
        <v>42195</v>
      </c>
      <c r="D22" s="5">
        <v>33199</v>
      </c>
      <c r="E22" s="5">
        <f t="shared" si="1"/>
        <v>141313</v>
      </c>
      <c r="F22" s="8">
        <f t="shared" si="0"/>
        <v>116466.3798860049</v>
      </c>
    </row>
    <row r="23" spans="1:6">
      <c r="A23" s="3" t="s">
        <v>17</v>
      </c>
      <c r="B23" s="4">
        <v>728002365</v>
      </c>
      <c r="C23" s="5">
        <v>41718</v>
      </c>
      <c r="D23" s="5">
        <v>33153</v>
      </c>
      <c r="E23" s="5">
        <f t="shared" si="1"/>
        <v>154704</v>
      </c>
      <c r="F23" s="8">
        <f t="shared" si="0"/>
        <v>127502.88249406993</v>
      </c>
    </row>
    <row r="24" spans="1:6">
      <c r="A24" s="3" t="s">
        <v>18</v>
      </c>
      <c r="B24" s="4">
        <v>728002365</v>
      </c>
      <c r="C24" s="5">
        <v>26946</v>
      </c>
      <c r="D24" s="5">
        <v>19884</v>
      </c>
      <c r="E24" s="5">
        <f t="shared" si="1"/>
        <v>152577</v>
      </c>
      <c r="F24" s="8">
        <f t="shared" si="0"/>
        <v>125749.86621094287</v>
      </c>
    </row>
    <row r="25" spans="1:6">
      <c r="A25" s="3" t="s">
        <v>19</v>
      </c>
      <c r="B25" s="4">
        <v>728002365</v>
      </c>
      <c r="C25" s="5">
        <v>13244</v>
      </c>
      <c r="D25" s="5">
        <v>9926</v>
      </c>
      <c r="E25" s="5">
        <f t="shared" si="1"/>
        <v>108854</v>
      </c>
      <c r="F25" s="8">
        <f t="shared" si="0"/>
        <v>89714.543715802356</v>
      </c>
    </row>
    <row r="26" spans="1:6">
      <c r="A26" s="3" t="s">
        <v>20</v>
      </c>
      <c r="B26" s="4">
        <v>728002365</v>
      </c>
      <c r="C26" s="5">
        <v>9659</v>
      </c>
      <c r="D26" s="5">
        <v>17677</v>
      </c>
      <c r="E26" s="5">
        <f t="shared" si="1"/>
        <v>63093</v>
      </c>
      <c r="F26" s="8">
        <f t="shared" si="0"/>
        <v>51999.556347595106</v>
      </c>
    </row>
    <row r="27" spans="1:6">
      <c r="A27" s="3" t="s">
        <v>28</v>
      </c>
      <c r="B27" s="4">
        <v>728002365</v>
      </c>
      <c r="C27" s="5">
        <v>12997</v>
      </c>
      <c r="D27" s="5">
        <v>10779</v>
      </c>
      <c r="E27" s="5">
        <f t="shared" si="1"/>
        <v>45559</v>
      </c>
      <c r="F27" s="8">
        <f t="shared" si="0"/>
        <v>37548.504392564719</v>
      </c>
    </row>
    <row r="28" spans="1:6">
      <c r="A28" s="3" t="s">
        <v>29</v>
      </c>
      <c r="B28" s="4">
        <v>728002365</v>
      </c>
      <c r="C28" s="5">
        <v>19467</v>
      </c>
      <c r="D28" s="5">
        <v>12643</v>
      </c>
      <c r="E28" s="6"/>
      <c r="F28" s="6"/>
    </row>
    <row r="29" spans="1:6">
      <c r="A29" s="3" t="s">
        <v>30</v>
      </c>
      <c r="B29" s="4">
        <v>728002365</v>
      </c>
      <c r="C29" s="5">
        <v>8003</v>
      </c>
      <c r="D29" s="5">
        <v>6491</v>
      </c>
      <c r="E29" s="6"/>
      <c r="F29" s="6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SK하이닉스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2025-01-31T15:24:20Z</dcterms:created>
  <dcterms:modified xsi:type="dcterms:W3CDTF">2026-07-01T12:54:27Z</dcterms:modified>
</cp:coreProperties>
</file>