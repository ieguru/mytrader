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97F5E5BB-8AAC-406E-9D07-4304681C5391}" xr6:coauthVersionLast="47" xr6:coauthVersionMax="47" xr10:uidLastSave="{00000000-0000-0000-0000-000000000000}"/>
  <bookViews>
    <workbookView xWindow="0" yWindow="360" windowWidth="38620" windowHeight="21100" xr2:uid="{C8D1CA31-9A8D-48BC-97FC-23CBA29A2F93}"/>
  </bookViews>
  <sheets>
    <sheet name="바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1" i="1"/>
  <c r="F12" i="1"/>
  <c r="F13" i="1"/>
  <c r="F15" i="1"/>
  <c r="F16" i="1"/>
  <c r="F20" i="1"/>
  <c r="E4" i="1"/>
  <c r="F4" i="1" s="1"/>
  <c r="E5" i="1"/>
  <c r="F5" i="1" s="1"/>
  <c r="E6" i="1"/>
  <c r="F6" i="1" s="1"/>
  <c r="E7" i="1"/>
  <c r="F7" i="1" s="1"/>
  <c r="E8" i="1"/>
  <c r="E9" i="1"/>
  <c r="F9" i="1" s="1"/>
  <c r="E10" i="1"/>
  <c r="F10" i="1" s="1"/>
  <c r="E11" i="1"/>
  <c r="E12" i="1"/>
  <c r="E13" i="1"/>
  <c r="E14" i="1"/>
  <c r="F14" i="1" s="1"/>
  <c r="E15" i="1"/>
  <c r="E16" i="1"/>
  <c r="E17" i="1"/>
  <c r="F17" i="1" s="1"/>
  <c r="E18" i="1"/>
  <c r="F18" i="1" s="1"/>
  <c r="E19" i="1"/>
  <c r="F19" i="1" s="1"/>
  <c r="E20" i="1"/>
  <c r="E21" i="1"/>
  <c r="F21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<sst xmlns="http://schemas.openxmlformats.org/spreadsheetml/2006/main" count="28" uniqueCount="28">
  <si>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</si>
  <si>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</si>
  <si>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</si>
  <si>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</si>
  <si>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</si>
  <si>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</si>
  <si>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</si>
  <si>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</si>
  <si>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</si>
  <si>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</si>
  <si>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</si>
  <si>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</si>
  <si>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</si>
  <si>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</si>
  <si>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</si>
  <si>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</si>
  <si>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</si>
  <si>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</si>
  <si>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</si>
  <si>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</si>
  <si>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</si>
  <si>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</si>
  <si>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</si>
  <si>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</si>
  <si>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</si>
  <si>
    <t>상장주식수</t>
  </si>
  <si>
    <t>4Q_income</t>
  </si>
  <si>
    <t>목표가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</si>
</sst>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14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3"/>
  <sheetViews>
    <sheetView tabSelected="1" workbookViewId="0">
      <selection activeCell="K8" sqref="K8"/>
    </sheetView>
  </sheetViews>
  <sheetFormatPr defaultRowHeight="17" x14ac:dyDescent="0.45"/>
  <cols>
    <col min="2" max="2" width="12.83203125" bestFit="1" customWidth="1"/>
  </cols>
  <sheetData>
    <row r="1" spans="1:6" x14ac:dyDescent="0.45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 x14ac:dyDescent="0.45">
      <c r="A2" t="s">
        <v>24</v>
      </c>
      <c r="B2" s="1">
        <v>35798007</v>
      </c>
      <c r="C2" s="3">
        <v>305</v>
      </c>
      <c r="D2" s="3">
        <v>233</v>
      </c>
      <c r="E2">
        <f>SUM(C2:C5)</f>
        <v>1188</v>
      </c>
      <c r="F2" s="2">
        <f>E2*100000000/B2*10</f>
        <v>33186.205030911355</v>
      </c>
    </row>
    <row r="3" spans="1:6" x14ac:dyDescent="0.45">
      <c r="A3" t="s">
        <v>3</v>
      </c>
      <c r="B3" s="1">
        <v>35798007</v>
      </c>
      <c r="C3" s="1">
        <v>305</v>
      </c>
      <c r="D3" s="1">
        <v>233</v>
      </c>
      <c r="E3">
        <f>SUM(C2:C5)</f>
        <v>1188</v>
      </c>
      <c r="F3" s="2">
        <f t="shared" ref="F3:F21" si="0">E3*100000000/B3*10</f>
        <v>33186.205030911355</v>
      </c>
    </row>
    <row r="4" spans="1:6" x14ac:dyDescent="0.45">
      <c r="A4" t="s">
        <v>4</v>
      </c>
      <c r="B4" s="1">
        <v>35798007</v>
      </c>
      <c r="C4" s="1">
        <v>308</v>
      </c>
      <c r="D4" s="1">
        <v>333</v>
      </c>
      <c r="E4" s="1">
        <f>SUM(C3:C6)</f>
        <v>1123</v>
      </c>
      <c r="F4" s="2">
        <f t="shared" si="0"/>
        <v>31370.461489657791</v>
      </c>
    </row>
    <row r="5" spans="1:6" x14ac:dyDescent="0.45">
      <c r="A5" t="s">
        <v>5</v>
      </c>
      <c r="B5" s="1">
        <v>35798007</v>
      </c>
      <c r="C5" s="1">
        <v>270</v>
      </c>
      <c r="D5" s="1">
        <v>161</v>
      </c>
      <c r="E5" s="1">
        <f t="shared" ref="E5:E21" si="1">SUM(C4:C7)</f>
        <v>1006</v>
      </c>
      <c r="F5" s="2">
        <f t="shared" si="0"/>
        <v>28102.123115401369</v>
      </c>
    </row>
    <row r="6" spans="1:6" x14ac:dyDescent="0.45">
      <c r="A6" t="s">
        <v>6</v>
      </c>
      <c r="B6" s="1">
        <v>35798007</v>
      </c>
      <c r="C6" s="1">
        <v>240</v>
      </c>
      <c r="D6" s="1">
        <v>184</v>
      </c>
      <c r="E6" s="1">
        <f t="shared" si="1"/>
        <v>842</v>
      </c>
      <c r="F6" s="2">
        <f t="shared" si="0"/>
        <v>23520.862488238523</v>
      </c>
    </row>
    <row r="7" spans="1:6" x14ac:dyDescent="0.45">
      <c r="A7" t="s">
        <v>7</v>
      </c>
      <c r="B7" s="1">
        <v>35798007</v>
      </c>
      <c r="C7" s="1">
        <v>188</v>
      </c>
      <c r="D7" s="1">
        <v>131</v>
      </c>
      <c r="E7" s="1">
        <f t="shared" si="1"/>
        <v>689</v>
      </c>
      <c r="F7" s="2">
        <f t="shared" si="0"/>
        <v>19246.881537287816</v>
      </c>
    </row>
    <row r="8" spans="1:6" x14ac:dyDescent="0.45">
      <c r="A8" t="s">
        <v>8</v>
      </c>
      <c r="B8" s="1">
        <v>35798007</v>
      </c>
      <c r="C8" s="1">
        <v>144</v>
      </c>
      <c r="D8" s="1">
        <v>94</v>
      </c>
      <c r="E8" s="1">
        <f t="shared" si="1"/>
        <v>455</v>
      </c>
      <c r="F8" s="2">
        <f t="shared" si="0"/>
        <v>12710.204788774972</v>
      </c>
    </row>
    <row r="9" spans="1:6" x14ac:dyDescent="0.45">
      <c r="A9" t="s">
        <v>9</v>
      </c>
      <c r="B9" s="1">
        <v>35798007</v>
      </c>
      <c r="C9" s="1">
        <v>117</v>
      </c>
      <c r="D9" s="1">
        <v>77</v>
      </c>
      <c r="E9" s="1">
        <f t="shared" si="1"/>
        <v>339</v>
      </c>
      <c r="F9" s="2">
        <f t="shared" si="0"/>
        <v>9469.8009305378364</v>
      </c>
    </row>
    <row r="10" spans="1:6" x14ac:dyDescent="0.45">
      <c r="A10" t="s">
        <v>10</v>
      </c>
      <c r="B10" s="1">
        <v>35798007</v>
      </c>
      <c r="C10" s="1">
        <v>6</v>
      </c>
      <c r="D10" s="1">
        <v>15</v>
      </c>
      <c r="E10" s="1">
        <f t="shared" si="1"/>
        <v>222</v>
      </c>
      <c r="F10" s="2">
        <f t="shared" si="0"/>
        <v>6201.4625562814144</v>
      </c>
    </row>
    <row r="11" spans="1:6" x14ac:dyDescent="0.45">
      <c r="A11" t="s">
        <v>11</v>
      </c>
      <c r="B11" s="1">
        <v>35798007</v>
      </c>
      <c r="C11" s="1">
        <v>72</v>
      </c>
      <c r="D11" s="1">
        <v>3</v>
      </c>
      <c r="E11" s="1">
        <f t="shared" si="1"/>
        <v>160</v>
      </c>
      <c r="F11" s="2">
        <f t="shared" si="0"/>
        <v>4469.5225630857049</v>
      </c>
    </row>
    <row r="12" spans="1:6" x14ac:dyDescent="0.45">
      <c r="A12" t="s">
        <v>12</v>
      </c>
      <c r="B12" s="1">
        <v>35798007</v>
      </c>
      <c r="C12" s="1">
        <v>27</v>
      </c>
      <c r="D12" s="1">
        <v>20</v>
      </c>
      <c r="E12" s="1">
        <f t="shared" si="1"/>
        <v>236</v>
      </c>
      <c r="F12" s="2">
        <f t="shared" si="0"/>
        <v>6592.5457805514143</v>
      </c>
    </row>
    <row r="13" spans="1:6" x14ac:dyDescent="0.45">
      <c r="A13" t="s">
        <v>13</v>
      </c>
      <c r="B13" s="1">
        <v>35798007</v>
      </c>
      <c r="C13" s="1">
        <v>55</v>
      </c>
      <c r="D13" s="1">
        <v>37</v>
      </c>
      <c r="E13" s="1">
        <f t="shared" si="1"/>
        <v>260</v>
      </c>
      <c r="F13" s="2">
        <f t="shared" si="0"/>
        <v>7262.9741650142705</v>
      </c>
    </row>
    <row r="14" spans="1:6" x14ac:dyDescent="0.45">
      <c r="A14" t="s">
        <v>14</v>
      </c>
      <c r="B14" s="1">
        <v>35798007</v>
      </c>
      <c r="C14" s="1">
        <v>82</v>
      </c>
      <c r="D14" s="1">
        <v>71</v>
      </c>
      <c r="E14" s="1">
        <f t="shared" si="1"/>
        <v>273</v>
      </c>
      <c r="F14" s="2">
        <f t="shared" si="0"/>
        <v>7626.1228732649843</v>
      </c>
    </row>
    <row r="15" spans="1:6" x14ac:dyDescent="0.45">
      <c r="A15" t="s">
        <v>15</v>
      </c>
      <c r="B15" s="1">
        <v>35798007</v>
      </c>
      <c r="C15" s="1">
        <v>96</v>
      </c>
      <c r="D15" s="1">
        <v>-17</v>
      </c>
      <c r="E15" s="1">
        <f t="shared" si="1"/>
        <v>285</v>
      </c>
      <c r="F15" s="2">
        <f t="shared" si="0"/>
        <v>7961.337065496411</v>
      </c>
    </row>
    <row r="16" spans="1:6" x14ac:dyDescent="0.45">
      <c r="A16" t="s">
        <v>16</v>
      </c>
      <c r="B16" s="1">
        <v>35798007</v>
      </c>
      <c r="C16" s="1">
        <v>40</v>
      </c>
      <c r="D16" s="1">
        <v>52</v>
      </c>
      <c r="E16" s="1">
        <f t="shared" si="1"/>
        <v>264</v>
      </c>
      <c r="F16" s="2">
        <f t="shared" si="0"/>
        <v>7374.7122290914122</v>
      </c>
    </row>
    <row r="17" spans="1:6" x14ac:dyDescent="0.45">
      <c r="A17" t="s">
        <v>17</v>
      </c>
      <c r="B17" s="1">
        <v>35798007</v>
      </c>
      <c r="C17" s="1">
        <v>67</v>
      </c>
      <c r="D17" s="1">
        <v>46</v>
      </c>
      <c r="E17" s="1">
        <f t="shared" si="1"/>
        <v>157</v>
      </c>
      <c r="F17" s="2">
        <f t="shared" si="0"/>
        <v>4385.7190150278475</v>
      </c>
    </row>
    <row r="18" spans="1:6" x14ac:dyDescent="0.45">
      <c r="A18" t="s">
        <v>18</v>
      </c>
      <c r="B18" s="1">
        <v>35798007</v>
      </c>
      <c r="C18" s="1">
        <v>61</v>
      </c>
      <c r="D18" s="1">
        <v>94</v>
      </c>
      <c r="E18" s="1">
        <f t="shared" si="1"/>
        <v>127</v>
      </c>
      <c r="F18" s="2">
        <f t="shared" si="0"/>
        <v>3547.6835344492783</v>
      </c>
    </row>
    <row r="19" spans="1:6" x14ac:dyDescent="0.45">
      <c r="A19" t="s">
        <v>19</v>
      </c>
      <c r="B19" s="1">
        <v>35798007</v>
      </c>
      <c r="C19" s="1">
        <v>-11</v>
      </c>
      <c r="D19" s="1">
        <v>-24</v>
      </c>
      <c r="E19" s="1">
        <f t="shared" si="1"/>
        <v>78</v>
      </c>
      <c r="F19" s="2">
        <f t="shared" si="0"/>
        <v>2178.8922495042812</v>
      </c>
    </row>
    <row r="20" spans="1:6" x14ac:dyDescent="0.45">
      <c r="A20" t="s">
        <v>20</v>
      </c>
      <c r="B20" s="1">
        <v>35798007</v>
      </c>
      <c r="C20" s="1">
        <v>10</v>
      </c>
      <c r="D20" s="1">
        <v>4</v>
      </c>
      <c r="E20" s="1">
        <f t="shared" si="1"/>
        <v>54</v>
      </c>
      <c r="F20" s="2">
        <f t="shared" si="0"/>
        <v>1508.4638650414254</v>
      </c>
    </row>
    <row r="21" spans="1:6" x14ac:dyDescent="0.45">
      <c r="A21" t="s">
        <v>21</v>
      </c>
      <c r="B21" s="1">
        <v>35798007</v>
      </c>
      <c r="C21" s="1">
        <v>18</v>
      </c>
      <c r="D21" s="1">
        <v>-23</v>
      </c>
      <c r="E21" s="1">
        <f t="shared" si="1"/>
        <v>82</v>
      </c>
      <c r="F21" s="2">
        <f t="shared" si="0"/>
        <v>2290.6303135814237</v>
      </c>
    </row>
    <row r="22" spans="1:6" x14ac:dyDescent="0.45">
      <c r="A22" t="s">
        <v>22</v>
      </c>
      <c r="B22" s="1">
        <v>35798007</v>
      </c>
      <c r="C22" s="1">
        <v>37</v>
      </c>
      <c r="D22" s="1">
        <v>30</v>
      </c>
      <c r="F22" s="2"/>
    </row>
    <row r="23" spans="1:6" x14ac:dyDescent="0.45">
      <c r="A23" t="s">
        <v>23</v>
      </c>
      <c r="B23" s="1">
        <v>35798007</v>
      </c>
      <c r="C23" s="1">
        <v>17</v>
      </c>
      <c r="D23" s="1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바텍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2025-08-10T16:26:26Z</dcterms:modified>
</cp:coreProperties>
</file>