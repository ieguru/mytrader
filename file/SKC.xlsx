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5E69C22D-2CD9-4CD8-A10F-4AE37B8764A8}" xr6:coauthVersionLast="47" xr6:coauthVersionMax="47" xr10:uidLastSave="{00000000-0000-0000-0000-000000000000}"/>
  <bookViews>
    <workbookView xWindow="28702" yWindow="-98" windowWidth="28995" windowHeight="16395" xr2:uid="{C8D1CA31-9A8D-48BC-97FC-23CBA29A2F93}"/>
  </bookViews>
  <sheets>
    <sheet name="SK하이닉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 s="1"/>
  <c r="E3" i="1"/>
  <c r="F3" i="1" s="1"/>
  <c r="E4" i="1"/>
  <c r="F4" i="1" s="1"/>
  <c r="E5" i="1"/>
  <c r="F5" i="1" s="1"/>
  <c r="E6" i="1"/>
  <c r="F6" i="1" s="1"/>
  <c r="E7" i="1"/>
  <c r="F7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9" i="1"/>
  <c r="F9" i="1" s="1"/>
  <c r="E8" i="1"/>
  <c r="F8" i="1" s="1"/>
</calcChain>
</file>

<file path=xl/sharedStrings.xml><?xml version="1.0" encoding="utf-8"?>
<sst xmlns="http://schemas.openxmlformats.org/spreadsheetml/2006/main" count="35" uniqueCount="35">
  <si>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</si>
  <si>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</si>
  <si>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</si>
  <si>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</si>
  <si>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</si>
  <si>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</si>
  <si>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</si>
  <si>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</si>
  <si>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</si>
  <si>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</si>
  <si>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</si>
  <si>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</si>
  <si>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</si>
  <si>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</si>
  <si>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</si>
  <si>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</si>
  <si>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</si>
  <si>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</si>
  <si>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</si>
  <si>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</si>
  <si>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</si>
  <si>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상장주식수</t>
  </si>
  <si>
    <t>4Q_income</t>
  </si>
  <si>
    <t>목표가</t>
  </si>
  <si>
    <t>2025.3Q</t>
    <phoneticPr fontId="18" type="noConversion"/>
  </si>
  <si>
    <t>2025.4Q</t>
    <phoneticPr fontId="18" type="noConversion"/>
  </si>
  <si>
    <t>2026.1Q</t>
    <phoneticPr fontId="18" type="noConversion"/>
  </si>
  <si>
    <t>2025.2Q</t>
    <phoneticPr fontId="18" type="noConversion"/>
  </si>
  <si>
    <t>2020.3Q</t>
    <phoneticPr fontId="18" type="noConversion"/>
  </si>
  <si>
    <t>2020.2Q</t>
    <phoneticPr fontId="18" type="noConversion"/>
  </si>
  <si>
    <t>2020.1Q</t>
    <phoneticPr fontId="18" type="noConversion"/>
  </si>
  <si>
    <t>2026.2Q</t>
    <phoneticPr fontId="18" type="noConversion"/>
  </si>
  <si>
    <t>2026.3Q</t>
    <phoneticPr fontId="18" type="noConversion"/>
  </si>
  <si>
    <t>2026.4Q</t>
    <phoneticPr fontId="18" type="noConversion"/>
  </si>
  <si>
    <t>2027.1Q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</si>
</sst>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34" borderId="10" xfId="0" applyFill="1" applyBorder="1">
      <alignment vertical="center"/>
    </xf>
    <xf numFmtId="0" fontId="0" fillId="33" borderId="10" xfId="0" applyFill="1" applyBorder="1">
      <alignment vertical="center"/>
    </xf>
    <xf numFmtId="176" fontId="14" fillId="34" borderId="10" xfId="42" applyNumberFormat="1" applyFont="1" applyFill="1" applyBorder="1">
      <alignment vertical="center"/>
    </xf>
    <xf numFmtId="176" fontId="0" fillId="0" borderId="10" xfId="42" applyNumberFormat="1" applyFont="1" applyBorder="1">
      <alignment vertical="center"/>
    </xf>
    <xf numFmtId="176" fontId="0" fillId="34" borderId="10" xfId="0" applyNumberFormat="1" applyFill="1" applyBorder="1">
      <alignment vertical="center"/>
    </xf>
    <xf numFmtId="176" fontId="0" fillId="34" borderId="10" xfId="42" applyNumberFormat="1" applyFont="1" applyFill="1" applyBorder="1">
      <alignment vertical="center"/>
    </xf>
    <xf numFmtId="176" fontId="19" fillId="33" borderId="10" xfId="42" applyNumberFormat="1" applyFont="1" applyFill="1" applyBorder="1">
      <alignment vertical="center"/>
    </xf>
    <xf numFmtId="176" fontId="0" fillId="0" borderId="0" xfId="0" applyNumberFormat="1">
      <alignment vertical="center"/>
    </xf>
    <xf numFmtId="176" fontId="20" fillId="33" borderId="10" xfId="42" applyNumberFormat="1" applyFont="1" applyFill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58E8-FF85-482C-BAF4-EC0D5C6A9C6E}">
  <dimension ref="A1:F30"/>
  <sheetViews>
    <sheetView tabSelected="1" workbookViewId="0">
      <selection activeCell="B2" sqref="B2:F29"/>
    </sheetView>
  </sheetViews>
  <sheetFormatPr defaultRowHeight="16.899999999999999" x14ac:dyDescent="0.6"/>
  <cols>
    <col min="2" max="2" width="11.5" bestFit="1" customWidth="1"/>
    <col min="3" max="4" width="10.0625" bestFit="1" customWidth="1"/>
    <col min="5" max="5" width="9.375" bestFit="1" customWidth="1"/>
    <col min="6" max="6" width="11.1875" customWidth="1"/>
  </cols>
  <sheetData>
    <row r="1" spans="1:6" x14ac:dyDescent="0.6">
      <c r="A1" s="1" t="s">
        <v>0</v>
      </c>
      <c r="B1" s="1" t="s">
        <v>21</v>
      </c>
      <c r="C1" s="1" t="s">
        <v>1</v>
      </c>
      <c r="D1" s="1" t="s">
        <v>2</v>
      </c>
      <c r="E1" s="1" t="s">
        <v>22</v>
      </c>
      <c r="F1" s="1" t="s">
        <v>23</v>
      </c>
    </row>
    <row r="2" spans="1:6" x14ac:dyDescent="0.6">
      <c r="A2" s="1" t="s">
        <v>34</v>
      </c>
      <c r="B2" s="6">
        <v>37868298</v>
      </c>
      <c r="C2" s="4">
        <v>-89</v>
      </c>
      <c r="D2" s="4">
        <v>-89</v>
      </c>
      <c r="E2" s="5">
        <f>(C2*2+C3*2)</f>
        <v>-396</v>
      </c>
      <c r="F2" s="5">
        <f>E2*100000000/B2*8</f>
        <v>-8365.8367746023341</v>
      </c>
    </row>
    <row r="3" spans="1:6" x14ac:dyDescent="0.6">
      <c r="A3" s="1" t="s">
        <v>33</v>
      </c>
      <c r="B3" s="6">
        <v>37868298</v>
      </c>
      <c r="C3" s="4">
        <v>-109</v>
      </c>
      <c r="D3" s="4">
        <v>-770</v>
      </c>
      <c r="E3" s="5">
        <f>(C3*2+C4*2)</f>
        <v>-514</v>
      </c>
      <c r="F3" s="5">
        <f>E3*100000000/B3*8</f>
        <v>-10858.687126630302</v>
      </c>
    </row>
    <row r="4" spans="1:6" x14ac:dyDescent="0.6">
      <c r="A4" s="1" t="s">
        <v>32</v>
      </c>
      <c r="B4" s="6">
        <v>37868298</v>
      </c>
      <c r="C4" s="4">
        <v>-148</v>
      </c>
      <c r="D4" s="4">
        <v>-810</v>
      </c>
      <c r="E4" s="5">
        <f>(C4*2+C5*2)</f>
        <v>-584</v>
      </c>
      <c r="F4" s="5">
        <f>E4*100000000/B4*8</f>
        <v>-12337.49665749435</v>
      </c>
    </row>
    <row r="5" spans="1:6" x14ac:dyDescent="0.6">
      <c r="A5" s="1" t="s">
        <v>31</v>
      </c>
      <c r="B5" s="6">
        <v>37868298</v>
      </c>
      <c r="C5" s="4">
        <v>-144</v>
      </c>
      <c r="D5" s="4">
        <v>-906</v>
      </c>
      <c r="E5" s="5">
        <f>(C5*2+C4*2)</f>
        <v>-584</v>
      </c>
      <c r="F5" s="5">
        <f>E5*100000000/B5*8</f>
        <v>-12337.49665749435</v>
      </c>
    </row>
    <row r="6" spans="1:6" x14ac:dyDescent="0.6">
      <c r="A6" s="2" t="s">
        <v>26</v>
      </c>
      <c r="B6" s="6">
        <v>37868298</v>
      </c>
      <c r="C6" s="4">
        <v>-287</v>
      </c>
      <c r="D6" s="4">
        <v>-815</v>
      </c>
      <c r="E6" s="8">
        <f>(C5*2+C6+C4)</f>
        <v>-723</v>
      </c>
      <c r="F6" s="7">
        <f>E6*100000000/B6*8</f>
        <v>-15273.989868781533</v>
      </c>
    </row>
    <row r="7" spans="1:6" x14ac:dyDescent="0.6">
      <c r="A7" s="3" t="s">
        <v>25</v>
      </c>
      <c r="B7" s="6">
        <v>37868298</v>
      </c>
      <c r="C7" s="10">
        <v>-1076</v>
      </c>
      <c r="D7" s="8">
        <v>-5422</v>
      </c>
      <c r="E7" s="8">
        <f>(C6*2+C7+C5)</f>
        <v>-1794</v>
      </c>
      <c r="F7" s="8">
        <f t="shared" ref="F7:F28" si="0">E7*100000000/B7*7</f>
        <v>-33162.303729626292</v>
      </c>
    </row>
    <row r="8" spans="1:6" x14ac:dyDescent="0.6">
      <c r="A8" s="3" t="s">
        <v>24</v>
      </c>
      <c r="B8" s="6">
        <v>37868298</v>
      </c>
      <c r="C8" s="8">
        <v>-528</v>
      </c>
      <c r="D8" s="8">
        <v>-906</v>
      </c>
      <c r="E8" s="8">
        <f>(C6+C7+C8*2)</f>
        <v>-2419</v>
      </c>
      <c r="F8" s="8">
        <f t="shared" si="0"/>
        <v>-44715.50318950168</v>
      </c>
    </row>
    <row r="9" spans="1:6" x14ac:dyDescent="0.6">
      <c r="A9" s="3" t="s">
        <v>27</v>
      </c>
      <c r="B9" s="6">
        <v>37868298</v>
      </c>
      <c r="C9" s="8">
        <v>-702</v>
      </c>
      <c r="D9" s="8">
        <v>-40</v>
      </c>
      <c r="E9" s="8">
        <f t="shared" ref="E9:E28" si="1">(C7+C8+C9*2)</f>
        <v>-3008</v>
      </c>
      <c r="F9" s="8">
        <f t="shared" si="0"/>
        <v>-55603.238360488234</v>
      </c>
    </row>
    <row r="10" spans="1:6" x14ac:dyDescent="0.6">
      <c r="A10" s="3" t="s">
        <v>3</v>
      </c>
      <c r="B10" s="6">
        <v>37868298</v>
      </c>
      <c r="C10" s="8">
        <v>-745</v>
      </c>
      <c r="D10" s="8">
        <v>-1178</v>
      </c>
      <c r="E10" s="8">
        <f t="shared" si="1"/>
        <v>-2720</v>
      </c>
      <c r="F10" s="8">
        <f t="shared" si="0"/>
        <v>-50279.524049377666</v>
      </c>
    </row>
    <row r="11" spans="1:6" x14ac:dyDescent="0.6">
      <c r="A11" s="1" t="s">
        <v>4</v>
      </c>
      <c r="B11" s="6">
        <v>37868298</v>
      </c>
      <c r="C11" s="5">
        <v>-749</v>
      </c>
      <c r="D11" s="5">
        <v>-2622</v>
      </c>
      <c r="E11" s="5">
        <f t="shared" si="1"/>
        <v>-2945</v>
      </c>
      <c r="F11" s="5">
        <f t="shared" si="0"/>
        <v>-54438.675854932793</v>
      </c>
    </row>
    <row r="12" spans="1:6" x14ac:dyDescent="0.6">
      <c r="A12" s="1" t="s">
        <v>5</v>
      </c>
      <c r="B12" s="6">
        <v>37868298</v>
      </c>
      <c r="C12" s="5">
        <v>-620</v>
      </c>
      <c r="D12" s="5">
        <v>-495</v>
      </c>
      <c r="E12" s="5">
        <f t="shared" si="1"/>
        <v>-2734</v>
      </c>
      <c r="F12" s="5">
        <f t="shared" si="0"/>
        <v>-50538.315717278871</v>
      </c>
    </row>
    <row r="13" spans="1:6" x14ac:dyDescent="0.6">
      <c r="A13" s="1" t="s">
        <v>6</v>
      </c>
      <c r="B13" s="6">
        <v>37868298</v>
      </c>
      <c r="C13" s="5">
        <v>-627</v>
      </c>
      <c r="D13" s="5">
        <v>-1153</v>
      </c>
      <c r="E13" s="5">
        <f t="shared" si="1"/>
        <v>-2623</v>
      </c>
      <c r="F13" s="5">
        <f t="shared" si="0"/>
        <v>-48486.467493204997</v>
      </c>
    </row>
    <row r="14" spans="1:6" x14ac:dyDescent="0.6">
      <c r="A14" s="1" t="s">
        <v>7</v>
      </c>
      <c r="B14" s="6">
        <v>37868298</v>
      </c>
      <c r="C14" s="5">
        <v>-762</v>
      </c>
      <c r="D14" s="5">
        <v>-280</v>
      </c>
      <c r="E14" s="5">
        <f t="shared" si="1"/>
        <v>-2771</v>
      </c>
      <c r="F14" s="5">
        <f t="shared" si="0"/>
        <v>-51222.265125303493</v>
      </c>
    </row>
    <row r="15" spans="1:6" x14ac:dyDescent="0.6">
      <c r="A15" s="1" t="s">
        <v>8</v>
      </c>
      <c r="B15" s="6">
        <v>37868298</v>
      </c>
      <c r="C15" s="5">
        <v>-1121</v>
      </c>
      <c r="D15" s="5">
        <v>-1441</v>
      </c>
      <c r="E15" s="5">
        <f t="shared" si="1"/>
        <v>-3631</v>
      </c>
      <c r="F15" s="5">
        <f t="shared" si="0"/>
        <v>-67119.467582092009</v>
      </c>
    </row>
    <row r="16" spans="1:6" x14ac:dyDescent="0.6">
      <c r="A16" s="1" t="s">
        <v>9</v>
      </c>
      <c r="B16" s="6">
        <v>37868298</v>
      </c>
      <c r="C16" s="5">
        <v>-430</v>
      </c>
      <c r="D16" s="5">
        <v>-654</v>
      </c>
      <c r="E16" s="5">
        <f t="shared" si="1"/>
        <v>-2743</v>
      </c>
      <c r="F16" s="5">
        <f t="shared" si="0"/>
        <v>-50704.681789501075</v>
      </c>
    </row>
    <row r="17" spans="1:6" x14ac:dyDescent="0.6">
      <c r="A17" s="1" t="s">
        <v>10</v>
      </c>
      <c r="B17" s="6">
        <v>37868298</v>
      </c>
      <c r="C17" s="5">
        <v>-369</v>
      </c>
      <c r="D17" s="5">
        <v>-248</v>
      </c>
      <c r="E17" s="5">
        <f t="shared" si="1"/>
        <v>-2289</v>
      </c>
      <c r="F17" s="5">
        <f t="shared" si="0"/>
        <v>-42312.437701847601</v>
      </c>
    </row>
    <row r="18" spans="1:6" x14ac:dyDescent="0.6">
      <c r="A18" s="1" t="s">
        <v>11</v>
      </c>
      <c r="B18" s="6">
        <v>37868298</v>
      </c>
      <c r="C18" s="5">
        <v>-217</v>
      </c>
      <c r="D18" s="5">
        <v>-921</v>
      </c>
      <c r="E18" s="5">
        <f t="shared" si="1"/>
        <v>-1233</v>
      </c>
      <c r="F18" s="5">
        <f t="shared" si="0"/>
        <v>-22792.151894442151</v>
      </c>
    </row>
    <row r="19" spans="1:6" x14ac:dyDescent="0.6">
      <c r="A19" s="1" t="s">
        <v>12</v>
      </c>
      <c r="B19" s="6">
        <v>37868298</v>
      </c>
      <c r="C19" s="5">
        <v>-584</v>
      </c>
      <c r="D19" s="5">
        <v>-2245</v>
      </c>
      <c r="E19" s="5">
        <f t="shared" si="1"/>
        <v>-1754</v>
      </c>
      <c r="F19" s="5">
        <f t="shared" si="0"/>
        <v>-32422.898964194268</v>
      </c>
    </row>
    <row r="20" spans="1:6" x14ac:dyDescent="0.6">
      <c r="A20" s="1" t="s">
        <v>13</v>
      </c>
      <c r="B20" s="6">
        <v>37868298</v>
      </c>
      <c r="C20" s="5">
        <v>22</v>
      </c>
      <c r="D20" s="5">
        <v>-99</v>
      </c>
      <c r="E20" s="5">
        <f t="shared" si="1"/>
        <v>-757</v>
      </c>
      <c r="F20" s="5">
        <f t="shared" si="0"/>
        <v>-13993.235185801062</v>
      </c>
    </row>
    <row r="21" spans="1:6" x14ac:dyDescent="0.6">
      <c r="A21" s="1" t="s">
        <v>14</v>
      </c>
      <c r="B21" s="6">
        <v>37868298</v>
      </c>
      <c r="C21" s="5">
        <v>1094</v>
      </c>
      <c r="D21" s="5">
        <v>1197</v>
      </c>
      <c r="E21" s="5">
        <f t="shared" si="1"/>
        <v>1626</v>
      </c>
      <c r="F21" s="5">
        <f t="shared" si="0"/>
        <v>30056.803714811791</v>
      </c>
    </row>
    <row r="22" spans="1:6" x14ac:dyDescent="0.6">
      <c r="A22" s="1" t="s">
        <v>15</v>
      </c>
      <c r="B22" s="6">
        <v>37868298</v>
      </c>
      <c r="C22" s="5">
        <v>1330</v>
      </c>
      <c r="D22" s="5">
        <v>902</v>
      </c>
      <c r="E22" s="5">
        <f t="shared" si="1"/>
        <v>3776</v>
      </c>
      <c r="F22" s="5">
        <f t="shared" si="0"/>
        <v>69799.809856783104</v>
      </c>
    </row>
    <row r="23" spans="1:6" x14ac:dyDescent="0.6">
      <c r="A23" s="1" t="s">
        <v>16</v>
      </c>
      <c r="B23" s="6">
        <v>37868298</v>
      </c>
      <c r="C23" s="5">
        <v>363</v>
      </c>
      <c r="D23" s="5">
        <v>189</v>
      </c>
      <c r="E23" s="5">
        <f t="shared" si="1"/>
        <v>3150</v>
      </c>
      <c r="F23" s="5">
        <f t="shared" si="0"/>
        <v>58228.125277771927</v>
      </c>
    </row>
    <row r="24" spans="1:6" x14ac:dyDescent="0.6">
      <c r="A24" s="1" t="s">
        <v>17</v>
      </c>
      <c r="B24" s="6">
        <v>37868298</v>
      </c>
      <c r="C24" s="5">
        <v>1458</v>
      </c>
      <c r="D24" s="5">
        <v>1852</v>
      </c>
      <c r="E24" s="5">
        <f t="shared" si="1"/>
        <v>4609</v>
      </c>
      <c r="F24" s="5">
        <f t="shared" si="0"/>
        <v>85197.91409690502</v>
      </c>
    </row>
    <row r="25" spans="1:6" x14ac:dyDescent="0.6">
      <c r="A25" s="1" t="s">
        <v>18</v>
      </c>
      <c r="B25" s="6">
        <v>37868298</v>
      </c>
      <c r="C25" s="5">
        <v>1375</v>
      </c>
      <c r="D25" s="5">
        <v>771</v>
      </c>
      <c r="E25" s="5">
        <f t="shared" si="1"/>
        <v>4571</v>
      </c>
      <c r="F25" s="5">
        <f t="shared" si="0"/>
        <v>84495.479569744581</v>
      </c>
    </row>
    <row r="26" spans="1:6" x14ac:dyDescent="0.6">
      <c r="A26" s="1" t="s">
        <v>19</v>
      </c>
      <c r="B26" s="6">
        <v>37868298</v>
      </c>
      <c r="C26" s="5">
        <v>818</v>
      </c>
      <c r="D26" s="5">
        <v>612</v>
      </c>
      <c r="E26" s="5">
        <f t="shared" si="1"/>
        <v>4469</v>
      </c>
      <c r="F26" s="5">
        <f t="shared" si="0"/>
        <v>82609.997417892941</v>
      </c>
    </row>
    <row r="27" spans="1:6" x14ac:dyDescent="0.6">
      <c r="A27" s="1" t="s">
        <v>20</v>
      </c>
      <c r="B27" s="6">
        <v>37868298</v>
      </c>
      <c r="C27" s="5">
        <v>693</v>
      </c>
      <c r="D27" s="5">
        <v>-337</v>
      </c>
      <c r="E27" s="5">
        <f t="shared" si="1"/>
        <v>3579</v>
      </c>
      <c r="F27" s="5">
        <f t="shared" si="0"/>
        <v>66158.241387030386</v>
      </c>
    </row>
    <row r="28" spans="1:6" x14ac:dyDescent="0.6">
      <c r="A28" s="1" t="s">
        <v>28</v>
      </c>
      <c r="B28" s="6">
        <v>37868298</v>
      </c>
      <c r="C28" s="5">
        <v>526</v>
      </c>
      <c r="D28" s="5">
        <v>134</v>
      </c>
      <c r="E28" s="5">
        <f t="shared" si="1"/>
        <v>2563</v>
      </c>
      <c r="F28" s="5">
        <f t="shared" si="0"/>
        <v>47377.360345056964</v>
      </c>
    </row>
    <row r="29" spans="1:6" x14ac:dyDescent="0.6">
      <c r="A29" s="1" t="s">
        <v>29</v>
      </c>
      <c r="B29" s="6">
        <v>37868298</v>
      </c>
      <c r="C29" s="5">
        <v>527</v>
      </c>
      <c r="D29" s="5">
        <v>79</v>
      </c>
      <c r="E29" s="9"/>
      <c r="F29" s="9"/>
    </row>
    <row r="30" spans="1:6" x14ac:dyDescent="0.6">
      <c r="A30" s="1" t="s">
        <v>30</v>
      </c>
      <c r="B30" s="6">
        <v>37868298</v>
      </c>
      <c r="C30" s="5">
        <v>274</v>
      </c>
      <c r="D30" s="5">
        <v>861</v>
      </c>
      <c r="E30" s="9"/>
      <c r="F30" s="9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SK하이닉스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2025-01-31T15:24:20Z</dcterms:created>
  <dcterms:modified xsi:type="dcterms:W3CDTF">2026-10-07T23:14:09Z</dcterms:modified>
</cp:coreProperties>
</file>