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0A86F5DE-3E94-4E07-9EB8-B243FE02B1B2}" xr6:coauthVersionLast="47" xr6:coauthVersionMax="47" xr10:uidLastSave="{00000000-0000-0000-0000-000000000000}"/>
  <bookViews>
    <workbookView xWindow="-98" yWindow="-98" windowWidth="28996" windowHeight="15675" xr2:uid="{A008B187-3A0A-45A4-8806-460F3C74B0B4}"/>
  </bookViews>
  <sheets>
    <sheet name="한화오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<sst xmlns="http://schemas.openxmlformats.org/spreadsheetml/2006/main" count="29" uniqueCount="29">
  <si>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</si>
  <si>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</si>
  <si>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</si>
  <si>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4Q_income</t>
  </si>
  <si>
    <t>목표가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</si>
  <si>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</si>
  <si>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</si>
  <si>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</si>
  <si>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</si>
  <si>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</si>
  <si>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</si>
  <si>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</si>
  <si>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</si>
  <si>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</si>
  <si>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</si>
  <si>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</si>
  <si>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</si>
  <si>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</si>
  <si>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</si>
  <si>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</si>
  <si>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</si>
  <si>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</si>
  <si>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</si>
  <si>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</si>
  <si>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</si>
  <si>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</si>
  <si>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</si>
  <si>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</si>
  <si>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2025.2Q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</si>
</sst>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7BA0-A572-4E4D-957B-A2D5C93FF91D}">
  <dimension ref="A1:F27"/>
  <sheetViews>
    <sheetView tabSelected="1" workbookViewId="0">
      <selection activeCell="C6" sqref="C6"/>
    </sheetView>
  </sheetViews>
  <sheetFormatPr defaultRowHeight="16.899999999999999" x14ac:dyDescent="0.6"/>
  <cols>
    <col min="2" max="2" width="10.8125" bestFit="1" customWidth="1"/>
  </cols>
  <sheetData>
    <row r="1" spans="1:6" x14ac:dyDescent="0.6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</row>
    <row r="2" spans="1:6" x14ac:dyDescent="0.6">
      <c r="A2" s="2" t="s">
        <v>24</v>
      </c>
      <c r="B2" s="1">
        <v>306413394</v>
      </c>
      <c r="C2" s="3">
        <v>4772.2</v>
      </c>
      <c r="D2" s="3">
        <v>3107</v>
      </c>
      <c r="E2" s="3">
        <f>(C2*2+C3*2)</f>
        <v>17854.8</v>
      </c>
      <c r="F2" s="3">
        <f>E2*100000000/B2*20</f>
        <v>116540.59743876601</v>
      </c>
    </row>
    <row r="3" spans="1:6" x14ac:dyDescent="0.6">
      <c r="A3" s="2" t="s">
        <v>25</v>
      </c>
      <c r="B3" s="1">
        <v>306413394</v>
      </c>
      <c r="C3" s="3">
        <v>4155.2</v>
      </c>
      <c r="D3" s="3">
        <v>2598.5</v>
      </c>
      <c r="E3" s="3">
        <f>(C2*2+C3*2)</f>
        <v>17854.8</v>
      </c>
      <c r="F3" s="3">
        <f t="shared" ref="F3:F24" si="0">E3*100000000/B3*20</f>
        <v>116540.59743876601</v>
      </c>
    </row>
    <row r="4" spans="1:6" x14ac:dyDescent="0.6">
      <c r="A4" s="2" t="s">
        <v>26</v>
      </c>
      <c r="B4" s="1">
        <v>306413394</v>
      </c>
      <c r="C4" s="3">
        <v>3642.6</v>
      </c>
      <c r="D4" s="3">
        <v>2928.3</v>
      </c>
      <c r="E4" s="3">
        <f>(C3*2+C4+C2)</f>
        <v>16725.2</v>
      </c>
      <c r="F4" s="3">
        <f t="shared" si="0"/>
        <v>109167.55159860929</v>
      </c>
    </row>
    <row r="5" spans="1:6" x14ac:dyDescent="0.6">
      <c r="A5" s="2" t="s">
        <v>27</v>
      </c>
      <c r="B5" s="1">
        <v>306413394</v>
      </c>
      <c r="C5" s="3">
        <v>2897.6</v>
      </c>
      <c r="D5" s="3">
        <v>2693.5</v>
      </c>
      <c r="E5" s="3">
        <f>(C3+C4+C5*2)</f>
        <v>13593</v>
      </c>
      <c r="F5" s="3">
        <f t="shared" si="0"/>
        <v>88723.275588925462</v>
      </c>
    </row>
    <row r="6" spans="1:6" x14ac:dyDescent="0.6">
      <c r="A6" s="2" t="s">
        <v>28</v>
      </c>
      <c r="B6" s="1">
        <v>306413394</v>
      </c>
      <c r="C6" s="3">
        <v>3717</v>
      </c>
      <c r="D6" s="3">
        <v>1484.3</v>
      </c>
      <c r="E6" s="3">
        <f t="shared" ref="E6:E24" si="1">(C4+C5+C6*2)</f>
        <v>13974.2</v>
      </c>
      <c r="F6" s="3">
        <f t="shared" si="0"/>
        <v>91211.417474785718</v>
      </c>
    </row>
    <row r="7" spans="1:6" x14ac:dyDescent="0.6">
      <c r="A7" s="2" t="s">
        <v>5</v>
      </c>
      <c r="B7" s="1">
        <v>306413394</v>
      </c>
      <c r="C7" s="3">
        <v>2586.1</v>
      </c>
      <c r="D7" s="3">
        <v>2156.9</v>
      </c>
      <c r="E7" s="3">
        <f t="shared" si="1"/>
        <v>11786.8</v>
      </c>
      <c r="F7" s="3">
        <f t="shared" si="0"/>
        <v>76933.97371526128</v>
      </c>
    </row>
    <row r="8" spans="1:6" x14ac:dyDescent="0.6">
      <c r="A8" s="2" t="s">
        <v>6</v>
      </c>
      <c r="B8" s="1">
        <v>306413394</v>
      </c>
      <c r="C8" s="3">
        <v>1690.2</v>
      </c>
      <c r="D8" s="3">
        <v>5794.9</v>
      </c>
      <c r="E8" s="3">
        <f t="shared" si="1"/>
        <v>9683.5</v>
      </c>
      <c r="F8" s="3">
        <f t="shared" si="0"/>
        <v>63205.461573262692</v>
      </c>
    </row>
    <row r="9" spans="1:6" x14ac:dyDescent="0.6">
      <c r="A9" s="2" t="s">
        <v>7</v>
      </c>
      <c r="B9" s="1">
        <v>306413394</v>
      </c>
      <c r="C9" s="3">
        <v>256</v>
      </c>
      <c r="D9" s="3">
        <v>-748</v>
      </c>
      <c r="E9" s="3">
        <f t="shared" si="1"/>
        <v>4788.3</v>
      </c>
      <c r="F9" s="3">
        <f t="shared" si="0"/>
        <v>31253.855697965995</v>
      </c>
    </row>
    <row r="10" spans="1:6" x14ac:dyDescent="0.6">
      <c r="A10" s="2" t="s">
        <v>8</v>
      </c>
      <c r="B10" s="1">
        <v>306413394</v>
      </c>
      <c r="C10" s="3">
        <v>-97</v>
      </c>
      <c r="D10" s="3">
        <v>-274</v>
      </c>
      <c r="E10" s="3">
        <f t="shared" si="1"/>
        <v>1752.2</v>
      </c>
      <c r="F10" s="3">
        <f t="shared" si="0"/>
        <v>11436.836863600029</v>
      </c>
    </row>
    <row r="11" spans="1:6" x14ac:dyDescent="0.6">
      <c r="A11" s="2" t="s">
        <v>9</v>
      </c>
      <c r="B11" s="1">
        <v>306413394</v>
      </c>
      <c r="C11" s="3">
        <v>529</v>
      </c>
      <c r="D11" s="3">
        <v>510</v>
      </c>
      <c r="E11" s="3">
        <f t="shared" si="1"/>
        <v>1217</v>
      </c>
      <c r="F11" s="3">
        <f t="shared" si="0"/>
        <v>7943.5169860753549</v>
      </c>
    </row>
    <row r="12" spans="1:6" x14ac:dyDescent="0.6">
      <c r="A12" s="2" t="s">
        <v>10</v>
      </c>
      <c r="B12" s="1">
        <v>306413394</v>
      </c>
      <c r="C12" s="3">
        <v>-488</v>
      </c>
      <c r="D12" s="3">
        <v>2861</v>
      </c>
      <c r="E12" s="3">
        <f t="shared" si="1"/>
        <v>-544</v>
      </c>
      <c r="F12" s="3">
        <f t="shared" si="0"/>
        <v>-3550.7586199054995</v>
      </c>
    </row>
    <row r="13" spans="1:6" x14ac:dyDescent="0.6">
      <c r="A13" s="2" t="s">
        <v>11</v>
      </c>
      <c r="B13" s="1">
        <v>306413394</v>
      </c>
      <c r="C13" s="3">
        <v>741</v>
      </c>
      <c r="D13" s="3">
        <v>2316</v>
      </c>
      <c r="E13" s="3">
        <f t="shared" si="1"/>
        <v>1523</v>
      </c>
      <c r="F13" s="3">
        <f t="shared" si="0"/>
        <v>9940.8187097721966</v>
      </c>
    </row>
    <row r="14" spans="1:6" x14ac:dyDescent="0.6">
      <c r="A14" s="2" t="s">
        <v>12</v>
      </c>
      <c r="B14" s="1">
        <v>306413394</v>
      </c>
      <c r="C14" s="3">
        <v>-1590</v>
      </c>
      <c r="D14" s="3">
        <v>-2372</v>
      </c>
      <c r="E14" s="3">
        <f t="shared" si="1"/>
        <v>-2927</v>
      </c>
      <c r="F14" s="3">
        <f t="shared" si="0"/>
        <v>-19104.908971440069</v>
      </c>
    </row>
    <row r="15" spans="1:6" x14ac:dyDescent="0.6">
      <c r="A15" s="2" t="s">
        <v>13</v>
      </c>
      <c r="B15" s="1">
        <v>306413394</v>
      </c>
      <c r="C15" s="3">
        <v>-628</v>
      </c>
      <c r="D15" s="3">
        <v>-1204</v>
      </c>
      <c r="E15" s="3">
        <f t="shared" si="1"/>
        <v>-2105</v>
      </c>
      <c r="F15" s="3">
        <f t="shared" si="0"/>
        <v>-13739.608262685801</v>
      </c>
    </row>
    <row r="16" spans="1:6" x14ac:dyDescent="0.6">
      <c r="A16" s="2" t="s">
        <v>14</v>
      </c>
      <c r="B16" s="1">
        <v>306413394</v>
      </c>
      <c r="C16" s="3">
        <v>-4161</v>
      </c>
      <c r="D16" s="3">
        <v>-4303</v>
      </c>
      <c r="E16" s="3">
        <f t="shared" si="1"/>
        <v>-10540</v>
      </c>
      <c r="F16" s="3">
        <f t="shared" si="0"/>
        <v>-68795.948260669044</v>
      </c>
    </row>
    <row r="17" spans="1:6" x14ac:dyDescent="0.6">
      <c r="A17" s="2" t="s">
        <v>15</v>
      </c>
      <c r="B17" s="1">
        <v>306413394</v>
      </c>
      <c r="C17" s="3">
        <v>-6278</v>
      </c>
      <c r="D17" s="3">
        <v>-6466</v>
      </c>
      <c r="E17" s="3">
        <f t="shared" si="1"/>
        <v>-17345</v>
      </c>
      <c r="F17" s="3">
        <f t="shared" si="0"/>
        <v>-113213.06665856781</v>
      </c>
    </row>
    <row r="18" spans="1:6" x14ac:dyDescent="0.6">
      <c r="A18" s="2" t="s">
        <v>16</v>
      </c>
      <c r="B18" s="1">
        <v>306413394</v>
      </c>
      <c r="C18" s="3">
        <v>-995</v>
      </c>
      <c r="D18" s="3">
        <v>-1761</v>
      </c>
      <c r="E18" s="3">
        <f t="shared" si="1"/>
        <v>-12429</v>
      </c>
      <c r="F18" s="3">
        <f t="shared" si="0"/>
        <v>-81125.696483098262</v>
      </c>
    </row>
    <row r="19" spans="1:6" x14ac:dyDescent="0.6">
      <c r="A19" s="2" t="s">
        <v>17</v>
      </c>
      <c r="B19" s="1">
        <v>306413394</v>
      </c>
      <c r="C19" s="3">
        <v>-4701</v>
      </c>
      <c r="D19" s="3">
        <v>-4918</v>
      </c>
      <c r="E19" s="3">
        <f t="shared" si="1"/>
        <v>-16675</v>
      </c>
      <c r="F19" s="3">
        <f t="shared" si="0"/>
        <v>-108839.88968184596</v>
      </c>
    </row>
    <row r="20" spans="1:6" x14ac:dyDescent="0.6">
      <c r="A20" s="2" t="s">
        <v>18</v>
      </c>
      <c r="B20" s="1">
        <v>306413394</v>
      </c>
      <c r="C20" s="3">
        <v>-5153</v>
      </c>
      <c r="D20" s="3">
        <v>-3984</v>
      </c>
      <c r="E20" s="3">
        <f t="shared" si="1"/>
        <v>-16002</v>
      </c>
      <c r="F20" s="3">
        <f t="shared" si="0"/>
        <v>-104447.1313156761</v>
      </c>
    </row>
    <row r="21" spans="1:6" x14ac:dyDescent="0.6">
      <c r="A21" s="2" t="s">
        <v>19</v>
      </c>
      <c r="B21" s="1">
        <v>306413394</v>
      </c>
      <c r="C21" s="3">
        <v>-190</v>
      </c>
      <c r="D21" s="3">
        <v>-545</v>
      </c>
      <c r="E21" s="3">
        <f t="shared" si="1"/>
        <v>-10234</v>
      </c>
      <c r="F21" s="3">
        <f t="shared" si="0"/>
        <v>-66798.646536972214</v>
      </c>
    </row>
    <row r="22" spans="1:6" x14ac:dyDescent="0.6">
      <c r="A22" s="2" t="s">
        <v>20</v>
      </c>
      <c r="B22" s="1">
        <v>306413394</v>
      </c>
      <c r="C22" s="3">
        <v>-10074</v>
      </c>
      <c r="D22" s="3">
        <v>-10122</v>
      </c>
      <c r="E22" s="3">
        <f t="shared" si="1"/>
        <v>-25491</v>
      </c>
      <c r="F22" s="3">
        <f t="shared" si="0"/>
        <v>-166383.06613972626</v>
      </c>
    </row>
    <row r="23" spans="1:6" x14ac:dyDescent="0.6">
      <c r="A23" s="2" t="s">
        <v>21</v>
      </c>
      <c r="B23" s="1">
        <v>306413394</v>
      </c>
      <c r="C23" s="3">
        <v>-2129</v>
      </c>
      <c r="D23" s="3">
        <v>-2347</v>
      </c>
      <c r="E23" s="3">
        <f t="shared" si="1"/>
        <v>-14522</v>
      </c>
      <c r="F23" s="3">
        <f t="shared" si="0"/>
        <v>-94786.979187992023</v>
      </c>
    </row>
    <row r="24" spans="1:6" x14ac:dyDescent="0.6">
      <c r="A24" s="2" t="s">
        <v>22</v>
      </c>
      <c r="B24" s="1">
        <v>306413394</v>
      </c>
      <c r="C24" s="3">
        <v>-2325</v>
      </c>
      <c r="D24" s="3">
        <v>-1782</v>
      </c>
      <c r="E24" s="3">
        <f t="shared" si="1"/>
        <v>-16853</v>
      </c>
      <c r="F24" s="3">
        <f t="shared" si="0"/>
        <v>-110001.71878909445</v>
      </c>
    </row>
    <row r="25" spans="1:6" x14ac:dyDescent="0.6">
      <c r="B25" s="1"/>
    </row>
    <row r="26" spans="1:6" x14ac:dyDescent="0.6">
      <c r="B26" s="1"/>
    </row>
    <row r="27" spans="1:6" x14ac:dyDescent="0.6">
      <c r="B27" s="1"/>
      <c r="C27" s="1"/>
      <c r="D2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한화오션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2025-01-31T15:21:03Z</dcterms:created>
  <dcterms:modified xsi:type="dcterms:W3CDTF">2026-01-31T01:44:49Z</dcterms:modified>
</cp:coreProperties>
</file>