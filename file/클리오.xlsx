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3B12720A-128C-4C14-A5B9-7D3415F0C18E}" xr6:coauthVersionLast="47" xr6:coauthVersionMax="47" xr10:uidLastSave="{00000000-0000-0000-0000-000000000000}"/>
  <bookViews>
    <workbookView xWindow="-98" yWindow="-98" windowWidth="28996" windowHeight="15675" xr2:uid="{4DA1E548-EBDF-4ECE-865E-9248BA2A82D0}"/>
  </bookViews>
  <sheets>
    <sheet name="한국콜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11" i="1"/>
  <c r="F12" i="1"/>
  <c r="F13" i="1"/>
  <c r="F15" i="1"/>
  <c r="E24" i="1"/>
  <c r="F24" i="1" s="1"/>
  <c r="E23" i="1"/>
  <c r="F23" i="1" s="1"/>
  <c r="E22" i="1"/>
  <c r="F22" i="1" s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E14" i="1"/>
  <c r="F14" i="1" s="1"/>
  <c r="E13" i="1"/>
  <c r="E12" i="1"/>
  <c r="E11" i="1"/>
  <c r="E10" i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<sst xmlns="http://schemas.openxmlformats.org/spreadsheetml/2006/main" count="29" uniqueCount="29">
  <si>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</si>
  <si>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</si>
  <si>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</si>
  <si>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</si>
  <si>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</si>
  <si>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</si>
  <si>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</si>
  <si>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</si>
  <si>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</si>
  <si>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</si>
  <si>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</si>
  <si>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</si>
  <si>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</si>
  <si>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</si>
  <si>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</si>
  <si>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</si>
  <si>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</si>
  <si>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</si>
  <si>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</si>
  <si>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</si>
  <si>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</si>
  <si>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4Q_income</t>
  </si>
  <si>
    <t>목표가</t>
  </si>
  <si>
    <t>2025.2Q</t>
    <phoneticPr fontId="18" type="noConversion"/>
  </si>
  <si>
    <t>상장주식수</t>
    <phoneticPr fontId="18" type="noConversion"/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</si>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</sst>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5A675F-0E6A-4D4A-9A3B-3BBAB52272CA}">
  <dimension ref="A1:F24"/>
  <sheetViews>
    <sheetView tabSelected="1" workbookViewId="0">
      <selection activeCell="C2" sqref="C2:D2"/>
    </sheetView>
  </sheetViews>
  <sheetFormatPr defaultRowHeight="16.899999999999999" x14ac:dyDescent="0.6"/>
  <cols>
    <col min="2" max="2" width="10.25" bestFit="1" customWidth="1"/>
    <col min="6" max="6" width="9.0625" bestFit="1" customWidth="1"/>
  </cols>
  <sheetData>
    <row r="1" spans="1:6" ht="19.5" customHeight="1" x14ac:dyDescent="0.6">
      <c r="A1" t="s">
        <v>0</v>
      </c>
      <c r="B1" t="s">
        <v>24</v>
      </c>
      <c r="C1" t="s">
        <v>1</v>
      </c>
      <c r="D1" t="s">
        <v>2</v>
      </c>
      <c r="E1" t="s">
        <v>21</v>
      </c>
      <c r="F1" t="s">
        <v>22</v>
      </c>
    </row>
    <row r="2" spans="1:6" ht="19.5" customHeight="1" x14ac:dyDescent="0.6">
      <c r="A2" t="s">
        <v>28</v>
      </c>
      <c r="B2" s="1">
        <v>23605077</v>
      </c>
      <c r="C2">
        <v>29</v>
      </c>
      <c r="D2">
        <v>35</v>
      </c>
      <c r="E2" s="2">
        <f>(C2*2+C3*2)</f>
        <v>116</v>
      </c>
      <c r="F2" s="2">
        <f>E2*100000000/B2*10</f>
        <v>4914.197060234118</v>
      </c>
    </row>
    <row r="3" spans="1:6" ht="19.5" customHeight="1" x14ac:dyDescent="0.6">
      <c r="A3" t="s">
        <v>27</v>
      </c>
      <c r="B3" s="1">
        <v>23605077</v>
      </c>
      <c r="C3">
        <v>29</v>
      </c>
      <c r="D3">
        <v>35</v>
      </c>
      <c r="E3" s="2">
        <f>(C2*2+C3*2)</f>
        <v>116</v>
      </c>
      <c r="F3" s="2">
        <f t="shared" ref="F3:F24" si="0">E3*100000000/B3*10</f>
        <v>4914.197060234118</v>
      </c>
    </row>
    <row r="4" spans="1:6" x14ac:dyDescent="0.6">
      <c r="A4" t="s">
        <v>26</v>
      </c>
      <c r="B4" s="1">
        <v>23605077</v>
      </c>
      <c r="C4">
        <v>29</v>
      </c>
      <c r="D4">
        <v>35</v>
      </c>
      <c r="E4" s="2">
        <f>(C3*2+C4+C2)</f>
        <v>116</v>
      </c>
      <c r="F4" s="2">
        <f t="shared" si="0"/>
        <v>4914.197060234118</v>
      </c>
    </row>
    <row r="5" spans="1:6" ht="19.5" customHeight="1" x14ac:dyDescent="0.6">
      <c r="A5" t="s">
        <v>25</v>
      </c>
      <c r="B5" s="1">
        <v>23605077</v>
      </c>
      <c r="C5">
        <v>47</v>
      </c>
      <c r="D5">
        <v>55</v>
      </c>
      <c r="E5" s="2">
        <f>(C3+C4+C5*2)</f>
        <v>152</v>
      </c>
      <c r="F5" s="2">
        <f t="shared" si="0"/>
        <v>6439.2926996171209</v>
      </c>
    </row>
    <row r="6" spans="1:6" ht="19.5" customHeight="1" x14ac:dyDescent="0.6">
      <c r="A6" t="s">
        <v>23</v>
      </c>
      <c r="B6" s="1">
        <v>23605077</v>
      </c>
      <c r="C6">
        <v>35</v>
      </c>
      <c r="D6">
        <v>19</v>
      </c>
      <c r="E6" s="2">
        <f t="shared" ref="E6:E24" si="1">(C4+C5+C6*2)</f>
        <v>146</v>
      </c>
      <c r="F6" s="2">
        <f t="shared" si="0"/>
        <v>6185.1100930532866</v>
      </c>
    </row>
    <row r="7" spans="1:6" x14ac:dyDescent="0.6">
      <c r="A7" t="s">
        <v>3</v>
      </c>
      <c r="B7" s="1">
        <v>23605077</v>
      </c>
      <c r="C7">
        <v>11</v>
      </c>
      <c r="D7">
        <v>27</v>
      </c>
      <c r="E7" s="2">
        <f t="shared" si="1"/>
        <v>104</v>
      </c>
      <c r="F7" s="2">
        <f t="shared" si="0"/>
        <v>4405.8318471064504</v>
      </c>
    </row>
    <row r="8" spans="1:6" x14ac:dyDescent="0.6">
      <c r="A8" t="s">
        <v>4</v>
      </c>
      <c r="B8" s="1">
        <v>23605077</v>
      </c>
      <c r="C8">
        <v>1</v>
      </c>
      <c r="D8">
        <v>23</v>
      </c>
      <c r="E8" s="2">
        <f t="shared" si="1"/>
        <v>48</v>
      </c>
      <c r="F8" s="2">
        <f t="shared" si="0"/>
        <v>2033.4608525106696</v>
      </c>
    </row>
    <row r="9" spans="1:6" x14ac:dyDescent="0.6">
      <c r="A9" t="s">
        <v>5</v>
      </c>
      <c r="B9" s="1">
        <v>23605077</v>
      </c>
      <c r="C9">
        <v>64</v>
      </c>
      <c r="D9">
        <v>60</v>
      </c>
      <c r="E9" s="2">
        <f t="shared" si="1"/>
        <v>140</v>
      </c>
      <c r="F9" s="2">
        <f t="shared" si="0"/>
        <v>5930.9274864894533</v>
      </c>
    </row>
    <row r="10" spans="1:6" x14ac:dyDescent="0.6">
      <c r="A10" t="s">
        <v>6</v>
      </c>
      <c r="B10" s="1">
        <v>23605077</v>
      </c>
      <c r="C10">
        <v>96</v>
      </c>
      <c r="D10">
        <v>90</v>
      </c>
      <c r="E10" s="2">
        <f t="shared" si="1"/>
        <v>257</v>
      </c>
      <c r="F10" s="2">
        <f t="shared" si="0"/>
        <v>10887.48831448421</v>
      </c>
    </row>
    <row r="11" spans="1:6" x14ac:dyDescent="0.6">
      <c r="A11" t="s">
        <v>7</v>
      </c>
      <c r="B11" s="1">
        <v>23605077</v>
      </c>
      <c r="C11">
        <v>85</v>
      </c>
      <c r="D11">
        <v>99</v>
      </c>
      <c r="E11" s="2">
        <f t="shared" si="1"/>
        <v>330</v>
      </c>
      <c r="F11" s="2">
        <f t="shared" si="0"/>
        <v>13980.043361010852</v>
      </c>
    </row>
    <row r="12" spans="1:6" x14ac:dyDescent="0.6">
      <c r="A12" t="s">
        <v>8</v>
      </c>
      <c r="B12" s="1">
        <v>23605077</v>
      </c>
      <c r="C12">
        <v>116</v>
      </c>
      <c r="D12">
        <v>65</v>
      </c>
      <c r="E12" s="2">
        <f t="shared" si="1"/>
        <v>413</v>
      </c>
      <c r="F12" s="2">
        <f t="shared" si="0"/>
        <v>17496.236085143886</v>
      </c>
    </row>
    <row r="13" spans="1:6" x14ac:dyDescent="0.6">
      <c r="A13" t="s">
        <v>9</v>
      </c>
      <c r="B13" s="1">
        <v>23605077</v>
      </c>
      <c r="C13">
        <v>105</v>
      </c>
      <c r="D13">
        <v>97</v>
      </c>
      <c r="E13" s="2">
        <f t="shared" si="1"/>
        <v>411</v>
      </c>
      <c r="F13" s="2">
        <f t="shared" si="0"/>
        <v>17411.508549622609</v>
      </c>
    </row>
    <row r="14" spans="1:6" x14ac:dyDescent="0.6">
      <c r="A14" t="s">
        <v>10</v>
      </c>
      <c r="B14" s="1">
        <v>23605077</v>
      </c>
      <c r="C14">
        <v>65</v>
      </c>
      <c r="D14">
        <v>54</v>
      </c>
      <c r="E14" s="2">
        <f t="shared" si="1"/>
        <v>351</v>
      </c>
      <c r="F14" s="2">
        <f t="shared" si="0"/>
        <v>14869.682483984272</v>
      </c>
    </row>
    <row r="15" spans="1:6" x14ac:dyDescent="0.6">
      <c r="A15" t="s">
        <v>11</v>
      </c>
      <c r="B15" s="1">
        <v>23605077</v>
      </c>
      <c r="C15">
        <v>52</v>
      </c>
      <c r="D15">
        <v>57</v>
      </c>
      <c r="E15" s="2">
        <f t="shared" si="1"/>
        <v>274</v>
      </c>
      <c r="F15" s="2">
        <f t="shared" si="0"/>
        <v>11607.672366415072</v>
      </c>
    </row>
    <row r="16" spans="1:6" x14ac:dyDescent="0.6">
      <c r="A16" t="s">
        <v>12</v>
      </c>
      <c r="B16" s="1">
        <v>23605077</v>
      </c>
      <c r="C16">
        <v>52</v>
      </c>
      <c r="D16">
        <v>32</v>
      </c>
      <c r="E16" s="2">
        <f t="shared" si="1"/>
        <v>221</v>
      </c>
      <c r="F16" s="2">
        <f t="shared" si="0"/>
        <v>9362.3926751012077</v>
      </c>
    </row>
    <row r="17" spans="1:6" x14ac:dyDescent="0.6">
      <c r="A17" t="s">
        <v>13</v>
      </c>
      <c r="B17" s="1">
        <v>23605077</v>
      </c>
      <c r="C17">
        <v>46</v>
      </c>
      <c r="D17">
        <v>32</v>
      </c>
      <c r="E17" s="2">
        <f t="shared" si="1"/>
        <v>196</v>
      </c>
      <c r="F17" s="2">
        <f t="shared" si="0"/>
        <v>8303.298481085234</v>
      </c>
    </row>
    <row r="18" spans="1:6" x14ac:dyDescent="0.6">
      <c r="A18" t="s">
        <v>14</v>
      </c>
      <c r="B18" s="1">
        <v>23605077</v>
      </c>
      <c r="C18">
        <v>45</v>
      </c>
      <c r="D18">
        <v>29</v>
      </c>
      <c r="E18" s="2">
        <f t="shared" si="1"/>
        <v>188</v>
      </c>
      <c r="F18" s="2">
        <f t="shared" si="0"/>
        <v>7964.3883390001229</v>
      </c>
    </row>
    <row r="19" spans="1:6" x14ac:dyDescent="0.6">
      <c r="A19" t="s">
        <v>15</v>
      </c>
      <c r="B19" s="1">
        <v>23605077</v>
      </c>
      <c r="C19">
        <v>36</v>
      </c>
      <c r="D19">
        <v>8</v>
      </c>
      <c r="E19" s="2">
        <f t="shared" si="1"/>
        <v>163</v>
      </c>
      <c r="F19" s="2">
        <f t="shared" si="0"/>
        <v>6905.2941449841492</v>
      </c>
    </row>
    <row r="20" spans="1:6" x14ac:dyDescent="0.6">
      <c r="A20" t="s">
        <v>16</v>
      </c>
      <c r="B20" s="1">
        <v>23605077</v>
      </c>
      <c r="C20">
        <v>46</v>
      </c>
      <c r="D20">
        <v>-16</v>
      </c>
      <c r="E20" s="2">
        <f t="shared" si="1"/>
        <v>173</v>
      </c>
      <c r="F20" s="2">
        <f t="shared" si="0"/>
        <v>7328.931822590539</v>
      </c>
    </row>
    <row r="21" spans="1:6" x14ac:dyDescent="0.6">
      <c r="A21" t="s">
        <v>17</v>
      </c>
      <c r="B21" s="1">
        <v>23605077</v>
      </c>
      <c r="C21">
        <v>41</v>
      </c>
      <c r="D21">
        <v>76</v>
      </c>
      <c r="E21" s="2">
        <f t="shared" si="1"/>
        <v>164</v>
      </c>
      <c r="F21" s="2">
        <f t="shared" si="0"/>
        <v>6947.6579127447885</v>
      </c>
    </row>
    <row r="22" spans="1:6" x14ac:dyDescent="0.6">
      <c r="A22" t="s">
        <v>18</v>
      </c>
      <c r="B22" s="1">
        <v>23605077</v>
      </c>
      <c r="C22">
        <v>32</v>
      </c>
      <c r="D22">
        <v>10</v>
      </c>
      <c r="E22" s="2">
        <f t="shared" si="1"/>
        <v>151</v>
      </c>
      <c r="F22" s="2">
        <f t="shared" si="0"/>
        <v>6396.9289318564815</v>
      </c>
    </row>
    <row r="23" spans="1:6" x14ac:dyDescent="0.6">
      <c r="A23" t="s">
        <v>19</v>
      </c>
      <c r="B23" s="1">
        <v>23605077</v>
      </c>
      <c r="C23">
        <v>20</v>
      </c>
      <c r="D23">
        <v>22</v>
      </c>
      <c r="E23" s="2">
        <f t="shared" si="1"/>
        <v>113</v>
      </c>
      <c r="F23" s="2">
        <f t="shared" si="0"/>
        <v>4787.1057569522018</v>
      </c>
    </row>
    <row r="24" spans="1:6" x14ac:dyDescent="0.6">
      <c r="A24" t="s">
        <v>20</v>
      </c>
      <c r="B24" s="1">
        <v>23605077</v>
      </c>
      <c r="C24">
        <v>-14</v>
      </c>
      <c r="D24" s="1">
        <v>-7</v>
      </c>
      <c r="E24" s="2">
        <f t="shared" si="1"/>
        <v>24</v>
      </c>
      <c r="F24" s="2">
        <f t="shared" si="0"/>
        <v>1016.7304262553348</v>
      </c>
    </row>
  </sheetData>
  <phoneticPr fontId="18" type="noConversion"/>
  <conditionalFormatting sqref="F2:F2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한국콜마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ieguru</cp:lastModifiedBy>
  <dcterms:created xsi:type="dcterms:W3CDTF">2025-01-28T10:25:04Z</dcterms:created>
  <dcterms:modified xsi:type="dcterms:W3CDTF">2026-01-14T02:49:21Z</dcterms:modified>
</cp:coreProperties>
</file>