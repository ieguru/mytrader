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BAE440BB-4A7F-4657-A626-C574881D5B1A}" xr6:coauthVersionLast="47" xr6:coauthVersionMax="47" xr10:uidLastSave="{00000000-0000-0000-0000-000000000000}"/>
  <bookViews>
    <workbookView xWindow="28702" yWindow="-98" windowWidth="28995" windowHeight="16395" xr2:uid="{3B404238-6CFC-4173-9FBB-C15716A9B1DE}"/>
  </bookViews>
  <sheets>
    <sheet name="리노공업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4" i="1"/>
  <c r="E3" i="1"/>
  <c r="E2" i="1"/>
</calcChain>
</file>

<file path=xl/sharedStrings.xml><?xml version="1.0" encoding="utf-8"?>
<sst xmlns="http://schemas.openxmlformats.org/spreadsheetml/2006/main" count="33" uniqueCount="33">
  <si>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</si>
  <si>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</si>
  <si>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</si>
  <si>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</si>
  <si>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</si>
  <si>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</si>
  <si>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</si>
  <si>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</si>
  <si>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</si>
  <si>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</si>
  <si>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</si>
  <si>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</si>
  <si>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</si>
  <si>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</si>
  <si>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</si>
  <si>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</si>
  <si>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</si>
  <si>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</si>
  <si>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</si>
  <si>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</si>
  <si>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</si>
  <si>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</si>
  <si>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</si>
  <si>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</si>
  <si>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상장주식수</t>
    <phoneticPr fontId="18" type="noConversion"/>
  </si>
  <si>
    <t>4Q_income</t>
  </si>
  <si>
    <t>목표가</t>
  </si>
  <si>
    <t>2025.2Q</t>
    <phoneticPr fontId="18" type="noConversion"/>
  </si>
  <si>
    <t>2025.3Q</t>
    <phoneticPr fontId="18" type="noConversion"/>
  </si>
  <si>
    <t>2025.4Q</t>
    <phoneticPr fontId="18" type="noConversion"/>
  </si>
  <si>
    <t>2026.1Q</t>
    <phoneticPr fontId="18" type="noConversion"/>
  </si>
  <si>
    <t>2026.2Q</t>
    <phoneticPr fontId="18" type="noConversion"/>
  </si>
  <si>
    <t>2026.3Q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</si>
</sst>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39DB3-CE1B-42E2-AF4F-5D821B36F3D2}">
  <dimension ref="A1:F28"/>
  <sheetViews>
    <sheetView tabSelected="1" workbookViewId="0">
      <selection activeCell="F2" sqref="F2:F27"/>
    </sheetView>
  </sheetViews>
  <sheetFormatPr defaultRowHeight="16.899999999999999" x14ac:dyDescent="0.6"/>
  <cols>
    <col min="2" max="2" width="10.25" bestFit="1" customWidth="1"/>
  </cols>
  <sheetData>
    <row r="1" spans="1:6" x14ac:dyDescent="0.6">
      <c r="A1" t="s">
        <v>0</v>
      </c>
      <c r="B1" t="s">
        <v>24</v>
      </c>
      <c r="C1" t="s">
        <v>1</v>
      </c>
      <c r="D1" t="s">
        <v>2</v>
      </c>
      <c r="E1" t="s">
        <v>25</v>
      </c>
      <c r="F1" t="s">
        <v>26</v>
      </c>
    </row>
    <row r="2" spans="1:6" x14ac:dyDescent="0.6">
      <c r="A2" t="s">
        <v>32</v>
      </c>
      <c r="B2" s="2">
        <v>76211850</v>
      </c>
      <c r="C2">
        <v>568</v>
      </c>
      <c r="D2">
        <v>497</v>
      </c>
      <c r="E2">
        <f>2*C2+2*C3</f>
        <v>2396.6</v>
      </c>
      <c r="F2" s="1">
        <f>E2*100000000/B2*20</f>
        <v>62893.106518212066</v>
      </c>
    </row>
    <row r="3" spans="1:6" x14ac:dyDescent="0.6">
      <c r="A3" t="s">
        <v>31</v>
      </c>
      <c r="B3" s="2">
        <v>76211850</v>
      </c>
      <c r="C3">
        <v>630.29999999999995</v>
      </c>
      <c r="D3">
        <v>508</v>
      </c>
      <c r="E3">
        <f>2*C2+2*C3</f>
        <v>2396.6</v>
      </c>
      <c r="F3" s="1">
        <f t="shared" ref="F3:F27" si="0">E3*100000000/B3*20</f>
        <v>62893.106518212066</v>
      </c>
    </row>
    <row r="4" spans="1:6" x14ac:dyDescent="0.6">
      <c r="A4" t="s">
        <v>30</v>
      </c>
      <c r="B4" s="2">
        <v>76211850</v>
      </c>
      <c r="C4">
        <v>461.2</v>
      </c>
      <c r="D4">
        <v>393</v>
      </c>
      <c r="E4">
        <f>2*C4+2*C3</f>
        <v>2183</v>
      </c>
      <c r="F4" s="1">
        <f t="shared" si="0"/>
        <v>57287.6790157961</v>
      </c>
    </row>
    <row r="5" spans="1:6" x14ac:dyDescent="0.6">
      <c r="A5" t="s">
        <v>29</v>
      </c>
      <c r="B5" s="2">
        <v>76211850</v>
      </c>
      <c r="C5">
        <v>403.5</v>
      </c>
      <c r="D5">
        <v>395.9</v>
      </c>
      <c r="E5">
        <f t="shared" ref="E5:E28" si="1">2*C5+2*C4</f>
        <v>1729.4</v>
      </c>
      <c r="F5" s="1">
        <f t="shared" si="0"/>
        <v>45384.01836459816</v>
      </c>
    </row>
    <row r="6" spans="1:6" x14ac:dyDescent="0.6">
      <c r="A6" t="s">
        <v>28</v>
      </c>
      <c r="B6" s="2">
        <v>76211850</v>
      </c>
      <c r="C6">
        <v>482.6</v>
      </c>
      <c r="D6">
        <v>419.1</v>
      </c>
      <c r="E6">
        <f t="shared" si="1"/>
        <v>1772.2</v>
      </c>
      <c r="F6" s="1">
        <f t="shared" si="0"/>
        <v>46507.203276130938</v>
      </c>
    </row>
    <row r="7" spans="1:6" x14ac:dyDescent="0.6">
      <c r="A7" t="s">
        <v>27</v>
      </c>
      <c r="B7" s="2">
        <v>76211850</v>
      </c>
      <c r="C7">
        <v>534.4</v>
      </c>
      <c r="D7">
        <v>411.1</v>
      </c>
      <c r="E7">
        <f t="shared" si="1"/>
        <v>2034</v>
      </c>
      <c r="F7" s="1">
        <f t="shared" si="0"/>
        <v>53377.52593592729</v>
      </c>
    </row>
    <row r="8" spans="1:6" x14ac:dyDescent="0.6">
      <c r="A8" t="s">
        <v>3</v>
      </c>
      <c r="B8" s="2">
        <v>76211850</v>
      </c>
      <c r="C8">
        <v>349.4</v>
      </c>
      <c r="D8">
        <v>258</v>
      </c>
      <c r="E8">
        <f t="shared" si="1"/>
        <v>1767.6</v>
      </c>
      <c r="F8" s="1">
        <f t="shared" si="0"/>
        <v>46386.487140779289</v>
      </c>
    </row>
    <row r="9" spans="1:6" x14ac:dyDescent="0.6">
      <c r="A9" t="s">
        <v>4</v>
      </c>
      <c r="B9" s="2">
        <v>76211850</v>
      </c>
      <c r="C9">
        <v>325</v>
      </c>
      <c r="D9">
        <v>293.39999999999998</v>
      </c>
      <c r="E9">
        <f t="shared" si="1"/>
        <v>1348.8</v>
      </c>
      <c r="F9" s="1">
        <f t="shared" si="0"/>
        <v>35396.070296154729</v>
      </c>
    </row>
    <row r="10" spans="1:6" x14ac:dyDescent="0.6">
      <c r="A10" t="s">
        <v>5</v>
      </c>
      <c r="B10" s="2">
        <v>76211850</v>
      </c>
      <c r="C10">
        <v>307</v>
      </c>
      <c r="D10">
        <v>245</v>
      </c>
      <c r="E10">
        <f t="shared" si="1"/>
        <v>1264</v>
      </c>
      <c r="F10" s="1">
        <f t="shared" si="0"/>
        <v>33170.6945835851</v>
      </c>
    </row>
    <row r="11" spans="1:6" x14ac:dyDescent="0.6">
      <c r="A11" t="s">
        <v>6</v>
      </c>
      <c r="B11" s="2">
        <v>76211850</v>
      </c>
      <c r="C11">
        <v>332</v>
      </c>
      <c r="D11">
        <v>298</v>
      </c>
      <c r="E11">
        <f t="shared" si="1"/>
        <v>1278</v>
      </c>
      <c r="F11" s="1">
        <f t="shared" si="0"/>
        <v>33538.091517264045</v>
      </c>
    </row>
    <row r="12" spans="1:6" x14ac:dyDescent="0.6">
      <c r="A12" t="s">
        <v>7</v>
      </c>
      <c r="B12" s="2">
        <v>76211850</v>
      </c>
      <c r="C12">
        <v>233</v>
      </c>
      <c r="D12">
        <v>206</v>
      </c>
      <c r="E12">
        <f t="shared" si="1"/>
        <v>1130</v>
      </c>
      <c r="F12" s="1">
        <f t="shared" si="0"/>
        <v>29654.181075515156</v>
      </c>
    </row>
    <row r="13" spans="1:6" x14ac:dyDescent="0.6">
      <c r="A13" t="s">
        <v>8</v>
      </c>
      <c r="B13" s="2">
        <v>76211850</v>
      </c>
      <c r="C13">
        <v>302</v>
      </c>
      <c r="D13">
        <v>274</v>
      </c>
      <c r="E13">
        <f t="shared" si="1"/>
        <v>1070</v>
      </c>
      <c r="F13" s="1">
        <f t="shared" si="0"/>
        <v>28079.622788319666</v>
      </c>
    </row>
    <row r="14" spans="1:6" x14ac:dyDescent="0.6">
      <c r="A14" t="s">
        <v>9</v>
      </c>
      <c r="B14" s="2">
        <v>76211850</v>
      </c>
      <c r="C14">
        <v>333</v>
      </c>
      <c r="D14">
        <v>292</v>
      </c>
      <c r="E14">
        <f t="shared" si="1"/>
        <v>1270</v>
      </c>
      <c r="F14" s="1">
        <f t="shared" si="0"/>
        <v>33328.150412304647</v>
      </c>
    </row>
    <row r="15" spans="1:6" x14ac:dyDescent="0.6">
      <c r="A15" t="s">
        <v>10</v>
      </c>
      <c r="B15" s="2">
        <v>76211850</v>
      </c>
      <c r="C15">
        <v>336</v>
      </c>
      <c r="D15">
        <v>386</v>
      </c>
      <c r="E15">
        <f t="shared" si="1"/>
        <v>1338</v>
      </c>
      <c r="F15" s="1">
        <f t="shared" si="0"/>
        <v>35112.649804459543</v>
      </c>
    </row>
    <row r="16" spans="1:6" x14ac:dyDescent="0.6">
      <c r="A16" t="s">
        <v>11</v>
      </c>
      <c r="B16" s="2">
        <v>76211850</v>
      </c>
      <c r="C16">
        <v>173</v>
      </c>
      <c r="D16">
        <v>157</v>
      </c>
      <c r="E16">
        <f t="shared" si="1"/>
        <v>1018</v>
      </c>
      <c r="F16" s="1">
        <f t="shared" si="0"/>
        <v>26715.00560608357</v>
      </c>
    </row>
    <row r="17" spans="1:6" x14ac:dyDescent="0.6">
      <c r="A17" t="s">
        <v>12</v>
      </c>
      <c r="B17" s="2">
        <v>76211850</v>
      </c>
      <c r="C17">
        <v>158</v>
      </c>
      <c r="D17">
        <v>80</v>
      </c>
      <c r="E17">
        <f t="shared" si="1"/>
        <v>662</v>
      </c>
      <c r="F17" s="1">
        <f t="shared" si="0"/>
        <v>17372.626435390299</v>
      </c>
    </row>
    <row r="18" spans="1:6" x14ac:dyDescent="0.6">
      <c r="A18" t="s">
        <v>13</v>
      </c>
      <c r="B18" s="2">
        <v>76211850</v>
      </c>
      <c r="C18">
        <v>420</v>
      </c>
      <c r="D18">
        <v>387</v>
      </c>
      <c r="E18">
        <f t="shared" si="1"/>
        <v>1156</v>
      </c>
      <c r="F18" s="1">
        <f t="shared" si="0"/>
        <v>30336.489666633206</v>
      </c>
    </row>
    <row r="19" spans="1:6" x14ac:dyDescent="0.6">
      <c r="A19" t="s">
        <v>14</v>
      </c>
      <c r="B19" s="2">
        <v>76211850</v>
      </c>
      <c r="C19">
        <v>413</v>
      </c>
      <c r="D19">
        <v>365</v>
      </c>
      <c r="E19">
        <f t="shared" si="1"/>
        <v>1666</v>
      </c>
      <c r="F19" s="1">
        <f t="shared" si="0"/>
        <v>43720.235107794913</v>
      </c>
    </row>
    <row r="20" spans="1:6" x14ac:dyDescent="0.6">
      <c r="A20" t="s">
        <v>15</v>
      </c>
      <c r="B20" s="2">
        <v>76211850</v>
      </c>
      <c r="C20">
        <v>375</v>
      </c>
      <c r="D20">
        <v>312</v>
      </c>
      <c r="E20">
        <f t="shared" si="1"/>
        <v>1576</v>
      </c>
      <c r="F20" s="1">
        <f t="shared" si="0"/>
        <v>41358.397677001674</v>
      </c>
    </row>
    <row r="21" spans="1:6" x14ac:dyDescent="0.6">
      <c r="A21" t="s">
        <v>16</v>
      </c>
      <c r="B21" s="2">
        <v>76211850</v>
      </c>
      <c r="C21">
        <v>228</v>
      </c>
      <c r="D21">
        <v>211</v>
      </c>
      <c r="E21">
        <f t="shared" si="1"/>
        <v>1206</v>
      </c>
      <c r="F21" s="1">
        <f t="shared" si="0"/>
        <v>31648.621572629454</v>
      </c>
    </row>
    <row r="22" spans="1:6" x14ac:dyDescent="0.6">
      <c r="A22" t="s">
        <v>17</v>
      </c>
      <c r="B22" s="2">
        <v>76211850</v>
      </c>
      <c r="C22">
        <v>321</v>
      </c>
      <c r="D22">
        <v>289</v>
      </c>
      <c r="E22">
        <f t="shared" si="1"/>
        <v>1098</v>
      </c>
      <c r="F22" s="1">
        <f t="shared" si="0"/>
        <v>28814.41665567756</v>
      </c>
    </row>
    <row r="23" spans="1:6" x14ac:dyDescent="0.6">
      <c r="A23" t="s">
        <v>18</v>
      </c>
      <c r="B23" s="2">
        <v>76211850</v>
      </c>
      <c r="C23">
        <v>344</v>
      </c>
      <c r="D23">
        <v>294</v>
      </c>
      <c r="E23">
        <f t="shared" si="1"/>
        <v>1330</v>
      </c>
      <c r="F23" s="1">
        <f t="shared" si="0"/>
        <v>34902.708699500145</v>
      </c>
    </row>
    <row r="24" spans="1:6" x14ac:dyDescent="0.6">
      <c r="A24" t="s">
        <v>19</v>
      </c>
      <c r="B24" s="2">
        <v>76211850</v>
      </c>
      <c r="C24">
        <v>279</v>
      </c>
      <c r="D24">
        <v>245</v>
      </c>
      <c r="E24">
        <f t="shared" si="1"/>
        <v>1246</v>
      </c>
      <c r="F24" s="1">
        <f t="shared" si="0"/>
        <v>32698.327097426449</v>
      </c>
    </row>
    <row r="25" spans="1:6" x14ac:dyDescent="0.6">
      <c r="A25" t="s">
        <v>20</v>
      </c>
      <c r="B25" s="2">
        <v>76211850</v>
      </c>
      <c r="C25">
        <v>166</v>
      </c>
      <c r="D25">
        <v>72</v>
      </c>
      <c r="E25">
        <f t="shared" si="1"/>
        <v>890</v>
      </c>
      <c r="F25" s="1">
        <f t="shared" si="0"/>
        <v>23355.947926733177</v>
      </c>
    </row>
    <row r="26" spans="1:6" x14ac:dyDescent="0.6">
      <c r="A26" t="s">
        <v>21</v>
      </c>
      <c r="B26" s="2">
        <v>76211850</v>
      </c>
      <c r="C26">
        <v>205</v>
      </c>
      <c r="D26">
        <v>146</v>
      </c>
      <c r="E26">
        <f t="shared" si="1"/>
        <v>742</v>
      </c>
      <c r="F26" s="1">
        <f t="shared" si="0"/>
        <v>19472.037484984292</v>
      </c>
    </row>
    <row r="27" spans="1:6" x14ac:dyDescent="0.6">
      <c r="A27" t="s">
        <v>22</v>
      </c>
      <c r="B27" s="2">
        <v>76211850</v>
      </c>
      <c r="C27">
        <v>209</v>
      </c>
      <c r="D27">
        <v>160</v>
      </c>
      <c r="E27">
        <f t="shared" si="1"/>
        <v>828</v>
      </c>
      <c r="F27" s="1">
        <f t="shared" si="0"/>
        <v>21728.904363297836</v>
      </c>
    </row>
    <row r="28" spans="1:6" x14ac:dyDescent="0.6">
      <c r="A28" t="s">
        <v>23</v>
      </c>
      <c r="B28" s="2">
        <v>76211850</v>
      </c>
      <c r="C28">
        <v>199</v>
      </c>
      <c r="D28">
        <v>176</v>
      </c>
      <c r="E28">
        <f t="shared" si="1"/>
        <v>816</v>
      </c>
      <c r="F28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리노공업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2025-01-28T10:20:59Z</dcterms:created>
  <dcterms:modified xsi:type="dcterms:W3CDTF">2026-04-10T22:14:36Z</dcterms:modified>
</cp:coreProperties>
</file>