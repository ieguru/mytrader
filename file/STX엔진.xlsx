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CB04D0AB-BB9D-42AB-825E-BEBB3C9FD12D}" xr6:coauthVersionLast="47" xr6:coauthVersionMax="47" xr10:uidLastSave="{00000000-0000-0000-0000-000000000000}"/>
  <bookViews>
    <workbookView xWindow="0" yWindow="60" windowWidth="28770" windowHeight="15315" xr2:uid="{574589F6-5CF4-430A-9C77-3C46C2002903}"/>
  </bookViews>
  <sheets>
    <sheet name="STX엔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F21" i="1" s="1"/>
  <c r="F11" i="1"/>
  <c r="F12" i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E11" i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<sst xmlns="http://schemas.openxmlformats.org/spreadsheetml/2006/main" count="28" uniqueCount="28">
  <si>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</si>
  <si>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</si>
  <si>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</si>
  <si>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</si>
  <si>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</si>
  <si>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</si>
  <si>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</si>
  <si>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</si>
  <si>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</si>
  <si>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</si>
  <si>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</si>
  <si>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</si>
  <si>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</si>
  <si>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</si>
  <si>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</si>
  <si>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</si>
  <si>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</si>
  <si>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</si>
  <si>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</si>
  <si>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</si>
  <si>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</si>
  <si>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2025.2Q</t>
    <phoneticPr fontId="18" type="noConversion"/>
  </si>
  <si>
    <t>4Q_income</t>
  </si>
  <si>
    <t>목표가</t>
  </si>
  <si>
    <t>상장주식수</t>
  </si>
  <si>
    <t>2020.3Q</t>
    <phoneticPr fontId="18" type="noConversion"/>
  </si>
  <si>
    <t>2020.2Q</t>
    <phoneticPr fontId="18" type="noConversion"/>
  </si>
  <si>
    <t>2020.1Q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</si>
</sst>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70C4F-4979-4347-A0AE-4803346AD117}">
  <dimension ref="A1:F24"/>
  <sheetViews>
    <sheetView tabSelected="1" workbookViewId="0">
      <selection activeCell="C2" sqref="C2:D4"/>
    </sheetView>
  </sheetViews>
  <sheetFormatPr defaultRowHeight="16.5" x14ac:dyDescent="0.3"/>
  <cols>
    <col min="2" max="2" width="10.25" bestFit="1" customWidth="1"/>
    <col min="5" max="5" width="12.875" customWidth="1"/>
    <col min="6" max="6" width="8.25" bestFit="1" customWidth="1"/>
  </cols>
  <sheetData>
    <row r="1" spans="1:6" x14ac:dyDescent="0.3">
      <c r="A1" t="s">
        <v>0</v>
      </c>
      <c r="B1" t="s">
        <v>24</v>
      </c>
      <c r="C1" t="s">
        <v>1</v>
      </c>
      <c r="D1" t="s">
        <v>2</v>
      </c>
      <c r="E1" t="s">
        <v>22</v>
      </c>
      <c r="F1" t="s">
        <v>23</v>
      </c>
    </row>
    <row r="2" spans="1:6" x14ac:dyDescent="0.3">
      <c r="A2" t="s">
        <v>21</v>
      </c>
      <c r="B2" s="1">
        <v>23008904</v>
      </c>
      <c r="E2">
        <f>SUM(C2:C5)</f>
        <v>54</v>
      </c>
      <c r="F2" s="2">
        <f>E2*100000000/B2*20</f>
        <v>4693.8350475103025</v>
      </c>
    </row>
    <row r="3" spans="1:6" x14ac:dyDescent="0.3">
      <c r="A3" t="s">
        <v>3</v>
      </c>
      <c r="B3" s="1">
        <v>23008904</v>
      </c>
      <c r="C3" s="1"/>
      <c r="D3" s="1"/>
      <c r="E3">
        <f>SUM(C2:C5)</f>
        <v>54</v>
      </c>
      <c r="F3" s="2">
        <f t="shared" ref="F3:F20" si="0">E3*100000000/B3*20</f>
        <v>4693.8350475103025</v>
      </c>
    </row>
    <row r="4" spans="1:6" x14ac:dyDescent="0.3">
      <c r="A4" t="s">
        <v>4</v>
      </c>
      <c r="B4" s="1">
        <v>23008904</v>
      </c>
      <c r="C4" s="1"/>
      <c r="D4" s="1"/>
      <c r="E4">
        <f t="shared" ref="E4:E20" si="1">SUM(C3:C6)</f>
        <v>272</v>
      </c>
      <c r="F4" s="2">
        <f t="shared" si="0"/>
        <v>23643.020980051897</v>
      </c>
    </row>
    <row r="5" spans="1:6" x14ac:dyDescent="0.3">
      <c r="A5" t="s">
        <v>5</v>
      </c>
      <c r="B5" s="1">
        <v>23008904</v>
      </c>
      <c r="C5" s="1">
        <v>54</v>
      </c>
      <c r="D5" s="1">
        <v>22</v>
      </c>
      <c r="E5">
        <f t="shared" si="1"/>
        <v>340</v>
      </c>
      <c r="F5" s="2">
        <f t="shared" si="0"/>
        <v>29553.77622506487</v>
      </c>
    </row>
    <row r="6" spans="1:6" x14ac:dyDescent="0.3">
      <c r="A6" t="s">
        <v>6</v>
      </c>
      <c r="B6" s="1">
        <v>23008904</v>
      </c>
      <c r="C6" s="1">
        <v>218</v>
      </c>
      <c r="D6" s="1">
        <v>159</v>
      </c>
      <c r="E6">
        <f t="shared" si="1"/>
        <v>469</v>
      </c>
      <c r="F6" s="2">
        <f t="shared" si="0"/>
        <v>40766.82661633948</v>
      </c>
    </row>
    <row r="7" spans="1:6" x14ac:dyDescent="0.3">
      <c r="A7" t="s">
        <v>7</v>
      </c>
      <c r="B7" s="1">
        <v>23008904</v>
      </c>
      <c r="C7" s="1">
        <v>68</v>
      </c>
      <c r="D7" s="1">
        <v>24</v>
      </c>
      <c r="E7">
        <f t="shared" si="1"/>
        <v>434</v>
      </c>
      <c r="F7" s="2">
        <f t="shared" si="0"/>
        <v>37724.526122582807</v>
      </c>
    </row>
    <row r="8" spans="1:6" x14ac:dyDescent="0.3">
      <c r="A8" t="s">
        <v>8</v>
      </c>
      <c r="B8" s="1">
        <v>23008904</v>
      </c>
      <c r="C8" s="1">
        <v>129</v>
      </c>
      <c r="D8" s="1">
        <v>71</v>
      </c>
      <c r="E8">
        <f t="shared" si="1"/>
        <v>261</v>
      </c>
      <c r="F8" s="2">
        <f t="shared" si="0"/>
        <v>22686.8693962998</v>
      </c>
    </row>
    <row r="9" spans="1:6" x14ac:dyDescent="0.3">
      <c r="A9" t="s">
        <v>9</v>
      </c>
      <c r="B9" s="1">
        <v>23008904</v>
      </c>
      <c r="C9">
        <v>19</v>
      </c>
      <c r="D9" s="1">
        <v>-2</v>
      </c>
      <c r="E9">
        <f t="shared" si="1"/>
        <v>190</v>
      </c>
      <c r="F9" s="2">
        <f t="shared" si="0"/>
        <v>16515.34553753625</v>
      </c>
    </row>
    <row r="10" spans="1:6" x14ac:dyDescent="0.3">
      <c r="A10" t="s">
        <v>10</v>
      </c>
      <c r="B10" s="1">
        <v>23008904</v>
      </c>
      <c r="C10">
        <v>45</v>
      </c>
      <c r="D10">
        <v>20</v>
      </c>
      <c r="E10">
        <f t="shared" si="1"/>
        <v>-35</v>
      </c>
      <c r="F10" s="2">
        <f t="shared" si="0"/>
        <v>-3042.3004937566775</v>
      </c>
    </row>
    <row r="11" spans="1:6" x14ac:dyDescent="0.3">
      <c r="A11" t="s">
        <v>11</v>
      </c>
      <c r="B11" s="1">
        <v>23008904</v>
      </c>
      <c r="C11">
        <v>-3</v>
      </c>
      <c r="D11" s="1">
        <v>-32</v>
      </c>
      <c r="E11">
        <f t="shared" si="1"/>
        <v>-41</v>
      </c>
      <c r="F11" s="2">
        <f t="shared" si="0"/>
        <v>-3563.837721257823</v>
      </c>
    </row>
    <row r="12" spans="1:6" x14ac:dyDescent="0.3">
      <c r="A12" t="s">
        <v>12</v>
      </c>
      <c r="B12" s="1">
        <v>23008904</v>
      </c>
      <c r="C12" s="1">
        <v>-96</v>
      </c>
      <c r="D12" s="1">
        <v>-161</v>
      </c>
      <c r="E12">
        <f t="shared" si="1"/>
        <v>-80</v>
      </c>
      <c r="F12" s="2">
        <f t="shared" si="0"/>
        <v>-6953.8297000152634</v>
      </c>
    </row>
    <row r="13" spans="1:6" x14ac:dyDescent="0.3">
      <c r="A13" t="s">
        <v>13</v>
      </c>
      <c r="B13" s="1">
        <v>23008904</v>
      </c>
      <c r="C13" s="1">
        <v>13</v>
      </c>
      <c r="D13" s="1">
        <v>-64</v>
      </c>
      <c r="E13">
        <f t="shared" si="1"/>
        <v>-88</v>
      </c>
      <c r="F13" s="2">
        <f t="shared" si="0"/>
        <v>-7649.2126700167901</v>
      </c>
    </row>
    <row r="14" spans="1:6" x14ac:dyDescent="0.3">
      <c r="A14" t="s">
        <v>14</v>
      </c>
      <c r="B14" s="1">
        <v>23008904</v>
      </c>
      <c r="C14" s="1">
        <v>6</v>
      </c>
      <c r="D14" s="1">
        <v>-12</v>
      </c>
      <c r="E14">
        <f t="shared" si="1"/>
        <v>43</v>
      </c>
      <c r="F14" s="2">
        <f t="shared" si="0"/>
        <v>3737.6834637582042</v>
      </c>
    </row>
    <row r="15" spans="1:6" x14ac:dyDescent="0.3">
      <c r="A15" t="s">
        <v>15</v>
      </c>
      <c r="B15" s="1">
        <v>23008904</v>
      </c>
      <c r="C15" s="1">
        <v>-11</v>
      </c>
      <c r="D15" s="1">
        <v>-30</v>
      </c>
      <c r="E15">
        <f t="shared" si="1"/>
        <v>62</v>
      </c>
      <c r="F15" s="2">
        <f t="shared" si="0"/>
        <v>5389.2180175118292</v>
      </c>
    </row>
    <row r="16" spans="1:6" x14ac:dyDescent="0.3">
      <c r="A16" t="s">
        <v>16</v>
      </c>
      <c r="B16" s="1">
        <v>23008904</v>
      </c>
      <c r="C16" s="1">
        <v>35</v>
      </c>
      <c r="D16" s="1">
        <v>43</v>
      </c>
      <c r="E16">
        <f t="shared" si="1"/>
        <v>68</v>
      </c>
      <c r="F16" s="2">
        <f t="shared" si="0"/>
        <v>5910.7552450129742</v>
      </c>
    </row>
    <row r="17" spans="1:6" x14ac:dyDescent="0.3">
      <c r="A17" t="s">
        <v>17</v>
      </c>
      <c r="B17" s="1">
        <v>23008904</v>
      </c>
      <c r="C17" s="1">
        <v>32</v>
      </c>
      <c r="D17" s="1">
        <v>21</v>
      </c>
      <c r="E17">
        <f t="shared" si="1"/>
        <v>36</v>
      </c>
      <c r="F17" s="2">
        <f t="shared" si="0"/>
        <v>3129.2233650068688</v>
      </c>
    </row>
    <row r="18" spans="1:6" x14ac:dyDescent="0.3">
      <c r="A18" t="s">
        <v>18</v>
      </c>
      <c r="B18" s="1">
        <v>23008904</v>
      </c>
      <c r="C18" s="1">
        <v>12</v>
      </c>
      <c r="D18" s="1">
        <v>-13</v>
      </c>
      <c r="E18">
        <f t="shared" si="1"/>
        <v>49</v>
      </c>
      <c r="F18" s="2">
        <f t="shared" si="0"/>
        <v>4259.2206912593492</v>
      </c>
    </row>
    <row r="19" spans="1:6" x14ac:dyDescent="0.3">
      <c r="A19" t="s">
        <v>19</v>
      </c>
      <c r="B19" s="1">
        <v>23008904</v>
      </c>
      <c r="C19">
        <v>-43</v>
      </c>
      <c r="D19">
        <v>-41</v>
      </c>
      <c r="E19">
        <f t="shared" si="1"/>
        <v>30</v>
      </c>
      <c r="F19" s="2">
        <f t="shared" si="0"/>
        <v>2607.6861375057242</v>
      </c>
    </row>
    <row r="20" spans="1:6" x14ac:dyDescent="0.3">
      <c r="A20" t="s">
        <v>20</v>
      </c>
      <c r="B20" s="1">
        <v>23008904</v>
      </c>
      <c r="C20" s="1">
        <v>48</v>
      </c>
      <c r="D20" s="1">
        <v>208</v>
      </c>
      <c r="E20">
        <f t="shared" si="1"/>
        <v>68</v>
      </c>
      <c r="F20" s="2">
        <f t="shared" si="0"/>
        <v>5910.7552450129742</v>
      </c>
    </row>
    <row r="21" spans="1:6" x14ac:dyDescent="0.3">
      <c r="A21" t="s">
        <v>25</v>
      </c>
      <c r="B21" s="1">
        <v>23008904</v>
      </c>
      <c r="C21">
        <v>13</v>
      </c>
      <c r="D21">
        <v>-21</v>
      </c>
      <c r="E21">
        <f t="shared" ref="E21" si="2">SUM(C20:C23)</f>
        <v>144</v>
      </c>
      <c r="F21" s="2">
        <f t="shared" ref="F21" si="3">E21*100000000/B21*20</f>
        <v>12516.893460027475</v>
      </c>
    </row>
    <row r="22" spans="1:6" x14ac:dyDescent="0.3">
      <c r="A22" t="s">
        <v>26</v>
      </c>
      <c r="B22" s="1">
        <v>23008904</v>
      </c>
      <c r="C22">
        <v>50</v>
      </c>
      <c r="D22">
        <v>17</v>
      </c>
      <c r="F22" s="2"/>
    </row>
    <row r="23" spans="1:6" x14ac:dyDescent="0.3">
      <c r="A23" t="s">
        <v>27</v>
      </c>
      <c r="B23" s="1">
        <v>88773116</v>
      </c>
      <c r="C23" s="1">
        <v>33</v>
      </c>
      <c r="D23" s="1">
        <v>3</v>
      </c>
    </row>
    <row r="24" spans="1:6" x14ac:dyDescent="0.3">
      <c r="B24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STX엔진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2025-01-31T15:13:54Z</dcterms:created>
  <dcterms:modified xsi:type="dcterms:W3CDTF">2025-02-19T23:27:23Z</dcterms:modified>
</cp:coreProperties>
</file>