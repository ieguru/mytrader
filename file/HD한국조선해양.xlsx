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ED4EE3C9-3294-4663-8F30-7DED1545A086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HD한국조선해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  <c r="E3" i="1"/>
  <c r="E2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<sst xmlns="http://schemas.openxmlformats.org/spreadsheetml/2006/main" count="34" uniqueCount="34">
  <si>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</si>
  <si>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</si>
  <si>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</si>
  <si>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</si>
  <si>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</si>
  <si>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</si>
  <si>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</si>
  <si>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</si>
  <si>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</si>
  <si>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</si>
  <si>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</si>
  <si>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</si>
  <si>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</si>
  <si>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</si>
  <si>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</si>
  <si>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</si>
  <si>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</si>
  <si>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</si>
  <si>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</si>
  <si>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</si>
  <si>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</si>
  <si>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</si>
  <si>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</si>
  <si>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20201Q</t>
  </si>
  <si>
    <t>2025.2Q</t>
    <phoneticPr fontId="18" type="noConversion"/>
  </si>
  <si>
    <t>4Q_income</t>
  </si>
  <si>
    <t>목표가</t>
  </si>
  <si>
    <t>상장주식수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</si>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</sst>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176" fontId="14" fillId="33" borderId="0" xfId="42" applyNumberFormat="1" applyFont="1" applyFill="1" applyBorder="1">
      <alignment vertical="center"/>
    </xf>
    <xf numFmtId="176" fontId="0" fillId="33" borderId="0" xfId="42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9"/>
  <sheetViews>
    <sheetView tabSelected="1" workbookViewId="0">
      <selection activeCell="F2" sqref="F2:F27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11.4375" customWidth="1"/>
  </cols>
  <sheetData>
    <row r="1" spans="1:6" x14ac:dyDescent="0.6">
      <c r="A1" t="s">
        <v>0</v>
      </c>
      <c r="B1" t="s">
        <v>27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s="2" t="s">
        <v>33</v>
      </c>
      <c r="B2" s="3">
        <v>88773116</v>
      </c>
      <c r="C2" s="4">
        <v>15319.8</v>
      </c>
      <c r="D2" s="4">
        <v>9553.4</v>
      </c>
      <c r="E2" s="5">
        <f>(C2*2+C3*2)</f>
        <v>58555</v>
      </c>
      <c r="F2" s="5">
        <f>E2*100000000/B2*15</f>
        <v>989404.26964397635</v>
      </c>
    </row>
    <row r="3" spans="1:6" x14ac:dyDescent="0.6">
      <c r="A3" s="2" t="s">
        <v>32</v>
      </c>
      <c r="B3" s="3">
        <v>88773116</v>
      </c>
      <c r="C3" s="4">
        <v>13957.7</v>
      </c>
      <c r="D3" s="4">
        <v>8709.4</v>
      </c>
      <c r="E3" s="5">
        <f>(C3*2+C2*2)</f>
        <v>58555</v>
      </c>
      <c r="F3" s="5">
        <f t="shared" ref="F3:F27" si="0">E3*100000000/B3*15</f>
        <v>989404.26964397635</v>
      </c>
    </row>
    <row r="4" spans="1:6" x14ac:dyDescent="0.6">
      <c r="A4" s="2" t="s">
        <v>28</v>
      </c>
      <c r="B4" s="3">
        <v>88773116</v>
      </c>
      <c r="C4" s="4">
        <v>14127.6</v>
      </c>
      <c r="D4" s="4">
        <v>8945.2000000000007</v>
      </c>
      <c r="E4" s="5">
        <f>(C4+C3*2+C2)</f>
        <v>57362.8</v>
      </c>
      <c r="F4" s="5">
        <f t="shared" si="0"/>
        <v>969259.65739447507</v>
      </c>
    </row>
    <row r="5" spans="1:6" x14ac:dyDescent="0.6">
      <c r="A5" s="2" t="s">
        <v>29</v>
      </c>
      <c r="B5" s="3">
        <v>88773116</v>
      </c>
      <c r="C5" s="4">
        <v>13559.7</v>
      </c>
      <c r="D5" s="4">
        <v>8442.5</v>
      </c>
      <c r="E5" s="5">
        <f t="shared" ref="E5:E27" si="1">(C5+C4*2+C3)</f>
        <v>55772.600000000006</v>
      </c>
      <c r="F5" s="5">
        <f t="shared" si="0"/>
        <v>942390.03619068651</v>
      </c>
    </row>
    <row r="6" spans="1:6" x14ac:dyDescent="0.6">
      <c r="A6" s="2" t="s">
        <v>30</v>
      </c>
      <c r="B6" s="3">
        <v>88773116</v>
      </c>
      <c r="C6" s="4">
        <v>10379.200000000001</v>
      </c>
      <c r="D6" s="4">
        <v>6832.7</v>
      </c>
      <c r="E6" s="5">
        <f t="shared" si="1"/>
        <v>51626.200000000004</v>
      </c>
      <c r="F6" s="5">
        <f t="shared" si="0"/>
        <v>872328.28461265238</v>
      </c>
    </row>
    <row r="7" spans="1:6" x14ac:dyDescent="0.6">
      <c r="A7" s="2" t="s">
        <v>31</v>
      </c>
      <c r="B7" s="3">
        <v>88773116</v>
      </c>
      <c r="C7" s="4">
        <v>10537.8</v>
      </c>
      <c r="D7" s="4">
        <v>6333</v>
      </c>
      <c r="E7" s="5">
        <f t="shared" si="1"/>
        <v>44855.9</v>
      </c>
      <c r="F7" s="5">
        <f t="shared" si="0"/>
        <v>757930.47525784723</v>
      </c>
    </row>
    <row r="8" spans="1:6" x14ac:dyDescent="0.6">
      <c r="A8" t="s">
        <v>24</v>
      </c>
      <c r="B8" s="1">
        <v>70773116</v>
      </c>
      <c r="C8" s="6">
        <v>9536</v>
      </c>
      <c r="D8" s="6">
        <v>3564.4</v>
      </c>
      <c r="E8" s="5">
        <f t="shared" si="1"/>
        <v>40990.800000000003</v>
      </c>
      <c r="F8" s="5">
        <f t="shared" si="0"/>
        <v>868779.04316096532</v>
      </c>
    </row>
    <row r="9" spans="1:6" x14ac:dyDescent="0.6">
      <c r="A9" t="s">
        <v>3</v>
      </c>
      <c r="B9" s="1">
        <v>70773116</v>
      </c>
      <c r="C9" s="6">
        <v>8592</v>
      </c>
      <c r="D9" s="6">
        <v>6116</v>
      </c>
      <c r="E9" s="5">
        <f t="shared" si="1"/>
        <v>38201.800000000003</v>
      </c>
      <c r="F9" s="5">
        <f t="shared" si="0"/>
        <v>809667.61446535727</v>
      </c>
    </row>
    <row r="10" spans="1:6" x14ac:dyDescent="0.6">
      <c r="A10" t="s">
        <v>4</v>
      </c>
      <c r="B10" s="1">
        <v>70773116</v>
      </c>
      <c r="C10" s="6">
        <v>4991</v>
      </c>
      <c r="D10" s="6">
        <v>7271</v>
      </c>
      <c r="E10" s="5">
        <f t="shared" si="1"/>
        <v>31711</v>
      </c>
      <c r="F10" s="5">
        <f t="shared" si="0"/>
        <v>672098.42788326566</v>
      </c>
    </row>
    <row r="11" spans="1:6" x14ac:dyDescent="0.6">
      <c r="A11" t="s">
        <v>5</v>
      </c>
      <c r="B11" s="1">
        <v>70773116</v>
      </c>
      <c r="C11" s="6">
        <v>3984</v>
      </c>
      <c r="D11" s="6">
        <v>1764</v>
      </c>
      <c r="E11" s="5">
        <f t="shared" si="1"/>
        <v>22558</v>
      </c>
      <c r="F11" s="5">
        <f t="shared" si="0"/>
        <v>478105.273759601</v>
      </c>
    </row>
    <row r="12" spans="1:6" x14ac:dyDescent="0.6">
      <c r="A12" t="s">
        <v>6</v>
      </c>
      <c r="B12" s="1">
        <v>70773116</v>
      </c>
      <c r="C12" s="6">
        <v>3765</v>
      </c>
      <c r="D12" s="6">
        <v>3578</v>
      </c>
      <c r="E12" s="5">
        <f t="shared" si="1"/>
        <v>16724</v>
      </c>
      <c r="F12" s="5">
        <f t="shared" si="0"/>
        <v>354456.6272876836</v>
      </c>
    </row>
    <row r="13" spans="1:6" x14ac:dyDescent="0.6">
      <c r="A13" t="s">
        <v>7</v>
      </c>
      <c r="B13" s="1">
        <v>70773116</v>
      </c>
      <c r="C13" s="6">
        <v>1602</v>
      </c>
      <c r="D13" s="6">
        <v>1933</v>
      </c>
      <c r="E13" s="5">
        <f t="shared" si="1"/>
        <v>13116</v>
      </c>
      <c r="F13" s="5">
        <f t="shared" si="0"/>
        <v>277986.91243155097</v>
      </c>
    </row>
    <row r="14" spans="1:6" x14ac:dyDescent="0.6">
      <c r="A14" t="s">
        <v>8</v>
      </c>
      <c r="B14" s="1">
        <v>70773116</v>
      </c>
      <c r="C14" s="6">
        <v>1611</v>
      </c>
      <c r="D14" s="6">
        <v>-885</v>
      </c>
      <c r="E14" s="5">
        <f t="shared" si="1"/>
        <v>8580</v>
      </c>
      <c r="F14" s="5">
        <f t="shared" si="0"/>
        <v>181848.71215787643</v>
      </c>
    </row>
    <row r="15" spans="1:6" x14ac:dyDescent="0.6">
      <c r="A15" t="s">
        <v>9</v>
      </c>
      <c r="B15" s="1">
        <v>70773116</v>
      </c>
      <c r="C15" s="6">
        <v>690</v>
      </c>
      <c r="D15" s="6">
        <v>3459</v>
      </c>
      <c r="E15" s="5">
        <f t="shared" si="1"/>
        <v>5514</v>
      </c>
      <c r="F15" s="5">
        <f t="shared" si="0"/>
        <v>116866.41012104087</v>
      </c>
    </row>
    <row r="16" spans="1:6" x14ac:dyDescent="0.6">
      <c r="A16" t="s">
        <v>10</v>
      </c>
      <c r="B16" s="1">
        <v>70773116</v>
      </c>
      <c r="C16" s="6">
        <v>713</v>
      </c>
      <c r="D16" s="6">
        <v>394</v>
      </c>
      <c r="E16" s="5">
        <f t="shared" si="1"/>
        <v>3704</v>
      </c>
      <c r="F16" s="5">
        <f t="shared" si="0"/>
        <v>78504.385761395606</v>
      </c>
    </row>
    <row r="17" spans="1:6" x14ac:dyDescent="0.6">
      <c r="A17" t="s">
        <v>11</v>
      </c>
      <c r="B17" s="1">
        <v>70773116</v>
      </c>
      <c r="C17" s="6">
        <v>-190</v>
      </c>
      <c r="D17" s="6">
        <v>-1518</v>
      </c>
      <c r="E17" s="5">
        <f t="shared" si="1"/>
        <v>1926</v>
      </c>
      <c r="F17" s="5">
        <f t="shared" si="0"/>
        <v>40820.585036837998</v>
      </c>
    </row>
    <row r="18" spans="1:6" x14ac:dyDescent="0.6">
      <c r="A18" t="s">
        <v>12</v>
      </c>
      <c r="B18" s="1">
        <v>70773116</v>
      </c>
      <c r="C18" s="6">
        <v>1172</v>
      </c>
      <c r="D18" s="6">
        <v>-2122</v>
      </c>
      <c r="E18" s="5">
        <f t="shared" si="1"/>
        <v>1505</v>
      </c>
      <c r="F18" s="5">
        <f t="shared" si="0"/>
        <v>31897.705337716088</v>
      </c>
    </row>
    <row r="19" spans="1:6" x14ac:dyDescent="0.6">
      <c r="A19" t="s">
        <v>13</v>
      </c>
      <c r="B19" s="1">
        <v>70773116</v>
      </c>
      <c r="C19" s="6">
        <v>1887</v>
      </c>
      <c r="D19" s="6">
        <v>3158</v>
      </c>
      <c r="E19" s="5">
        <f t="shared" si="1"/>
        <v>4041</v>
      </c>
      <c r="F19" s="5">
        <f t="shared" si="0"/>
        <v>85646.928418412441</v>
      </c>
    </row>
    <row r="20" spans="1:6" x14ac:dyDescent="0.6">
      <c r="A20" t="s">
        <v>14</v>
      </c>
      <c r="B20" s="1">
        <v>70773116</v>
      </c>
      <c r="C20" s="6">
        <v>-2651</v>
      </c>
      <c r="D20" s="6">
        <v>-1056</v>
      </c>
      <c r="E20" s="5">
        <f t="shared" si="1"/>
        <v>2295</v>
      </c>
      <c r="F20" s="5">
        <f t="shared" si="0"/>
        <v>48641.351328942474</v>
      </c>
    </row>
    <row r="21" spans="1:6" x14ac:dyDescent="0.6">
      <c r="A21" t="s">
        <v>15</v>
      </c>
      <c r="B21" s="1">
        <v>70773116</v>
      </c>
      <c r="C21" s="6">
        <v>-3964</v>
      </c>
      <c r="D21" s="6">
        <v>-2932</v>
      </c>
      <c r="E21" s="5">
        <f t="shared" si="1"/>
        <v>-7379</v>
      </c>
      <c r="F21" s="5">
        <f t="shared" si="0"/>
        <v>-156394.13135349305</v>
      </c>
    </row>
    <row r="22" spans="1:6" x14ac:dyDescent="0.6">
      <c r="A22" t="s">
        <v>16</v>
      </c>
      <c r="B22" s="1">
        <v>70773116</v>
      </c>
      <c r="C22" s="6">
        <v>-6968</v>
      </c>
      <c r="D22" s="6">
        <v>-6753</v>
      </c>
      <c r="E22" s="5">
        <f t="shared" si="1"/>
        <v>-17547</v>
      </c>
      <c r="F22" s="5">
        <f t="shared" si="0"/>
        <v>-371899.69140259421</v>
      </c>
    </row>
    <row r="23" spans="1:6" x14ac:dyDescent="0.6">
      <c r="A23" t="s">
        <v>17</v>
      </c>
      <c r="B23" s="1">
        <v>70773116</v>
      </c>
      <c r="C23" s="6">
        <v>1418</v>
      </c>
      <c r="D23" s="6">
        <v>1926</v>
      </c>
      <c r="E23" s="5">
        <f t="shared" si="1"/>
        <v>-16482</v>
      </c>
      <c r="F23" s="5">
        <f t="shared" si="0"/>
        <v>-349327.56104733329</v>
      </c>
    </row>
    <row r="24" spans="1:6" x14ac:dyDescent="0.6">
      <c r="A24" t="s">
        <v>18</v>
      </c>
      <c r="B24" s="1">
        <v>70773116</v>
      </c>
      <c r="C24" s="6">
        <v>-8973</v>
      </c>
      <c r="D24" s="6">
        <v>-7221</v>
      </c>
      <c r="E24" s="5">
        <f t="shared" si="1"/>
        <v>-13105</v>
      </c>
      <c r="F24" s="5">
        <f t="shared" si="0"/>
        <v>-277753.77305698965</v>
      </c>
    </row>
    <row r="25" spans="1:6" x14ac:dyDescent="0.6">
      <c r="A25" t="s">
        <v>19</v>
      </c>
      <c r="B25" s="1">
        <v>70773116</v>
      </c>
      <c r="C25" s="6">
        <v>675</v>
      </c>
      <c r="D25" s="6">
        <v>636</v>
      </c>
      <c r="E25" s="5">
        <f t="shared" si="1"/>
        <v>-15853</v>
      </c>
      <c r="F25" s="5">
        <f t="shared" si="0"/>
        <v>-335996.22772014164</v>
      </c>
    </row>
    <row r="26" spans="1:6" x14ac:dyDescent="0.6">
      <c r="A26" t="s">
        <v>20</v>
      </c>
      <c r="B26" s="1">
        <v>70773116</v>
      </c>
      <c r="C26" s="6">
        <v>-1809</v>
      </c>
      <c r="D26" s="6">
        <v>-9235</v>
      </c>
      <c r="E26" s="5">
        <f t="shared" si="1"/>
        <v>-9432</v>
      </c>
      <c r="F26" s="5">
        <f t="shared" si="0"/>
        <v>-199906.41644208514</v>
      </c>
    </row>
    <row r="27" spans="1:6" x14ac:dyDescent="0.6">
      <c r="A27" t="s">
        <v>21</v>
      </c>
      <c r="B27" s="1">
        <v>70773116</v>
      </c>
      <c r="C27" s="6">
        <v>407</v>
      </c>
      <c r="D27" s="6">
        <v>-771</v>
      </c>
      <c r="E27" s="5">
        <f t="shared" si="1"/>
        <v>-2536</v>
      </c>
      <c r="F27" s="5">
        <f t="shared" si="0"/>
        <v>-53749.223080696349</v>
      </c>
    </row>
    <row r="28" spans="1:6" x14ac:dyDescent="0.6">
      <c r="A28" t="s">
        <v>22</v>
      </c>
      <c r="B28" s="1">
        <v>70773116</v>
      </c>
      <c r="C28" s="6">
        <v>930</v>
      </c>
      <c r="D28" s="6">
        <v>4</v>
      </c>
      <c r="E28" s="6"/>
      <c r="F28" s="6"/>
    </row>
    <row r="29" spans="1:6" x14ac:dyDescent="0.6">
      <c r="A29" t="s">
        <v>23</v>
      </c>
      <c r="B29" s="1">
        <v>70773116</v>
      </c>
      <c r="C29" s="6">
        <v>1217</v>
      </c>
      <c r="D29" s="6">
        <v>1649</v>
      </c>
      <c r="E29" s="6"/>
      <c r="F29" s="6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HD한국조선해양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2026-06-15T23:46:15Z</dcterms:modified>
</cp:coreProperties>
</file>