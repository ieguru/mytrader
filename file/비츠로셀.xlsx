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4B362713-BF22-486D-A402-486790C18191}" xr6:coauthVersionLast="47" xr6:coauthVersionMax="47" xr10:uidLastSave="{00000000-0000-0000-0000-000000000000}"/>
  <bookViews>
    <workbookView xWindow="-120" yWindow="-120" windowWidth="29040" windowHeight="15720" xr2:uid="{C8D1CA31-9A8D-48BC-97FC-23CBA29A2F93}"/>
  </bookViews>
  <sheets>
    <sheet name="비츠로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<sst xmlns="http://schemas.openxmlformats.org/spreadsheetml/2006/main" count="28" uniqueCount="28">
  <si>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</si>
  <si>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</si>
  <si>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</si>
  <si>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</si>
  <si>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</si>
  <si>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</si>
  <si>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</si>
  <si>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</si>
  <si>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</si>
  <si>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</si>
  <si>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</si>
  <si>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</si>
  <si>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</si>
  <si>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</si>
  <si>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</si>
  <si>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</si>
  <si>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</si>
  <si>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</si>
  <si>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</si>
  <si>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</si>
  <si>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</si>
  <si>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</si>
  <si>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</si>
  <si>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</si>
  <si>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</si>
  <si>
    <t>상장주식수</t>
  </si>
  <si>
    <t>4Q_income</t>
  </si>
  <si>
    <t>목표가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</si>
</sst>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3"/>
  <sheetViews>
    <sheetView tabSelected="1" workbookViewId="0">
      <selection activeCell="F2" sqref="F2:F21"/>
    </sheetView>
  </sheetViews>
  <sheetFormatPr defaultRowHeight="16.5" x14ac:dyDescent="0.3"/>
  <cols>
    <col min="2" max="2" width="12.875" bestFit="1" customWidth="1"/>
  </cols>
  <sheetData>
    <row r="1" spans="1:6" x14ac:dyDescent="0.3">
      <c r="A1" t="s">
        <v>0</v>
      </c>
      <c r="B1" t="s">
        <v>25</v>
      </c>
      <c r="C1" t="s">
        <v>1</v>
      </c>
      <c r="D1" t="s">
        <v>2</v>
      </c>
      <c r="E1" t="s">
        <v>26</v>
      </c>
      <c r="F1" t="s">
        <v>27</v>
      </c>
    </row>
    <row r="2" spans="1:6" x14ac:dyDescent="0.3">
      <c r="A2" t="s">
        <v>24</v>
      </c>
      <c r="B2" s="1">
        <v>22872213</v>
      </c>
      <c r="C2">
        <v>140</v>
      </c>
      <c r="D2">
        <v>130</v>
      </c>
      <c r="E2">
        <f>SUM(C2:C5)</f>
        <v>512</v>
      </c>
      <c r="F2" s="2">
        <f>E2*100000000/B2*10</f>
        <v>22385.240990891438</v>
      </c>
    </row>
    <row r="3" spans="1:6" x14ac:dyDescent="0.3">
      <c r="A3" t="s">
        <v>3</v>
      </c>
      <c r="B3" s="1">
        <v>22872213</v>
      </c>
      <c r="C3" s="1">
        <v>110</v>
      </c>
      <c r="D3" s="1">
        <v>110</v>
      </c>
      <c r="E3">
        <f>SUM(C2:C5)</f>
        <v>512</v>
      </c>
      <c r="F3" s="2">
        <f t="shared" ref="F3:F21" si="0">E3*100000000/B3*10</f>
        <v>22385.240990891438</v>
      </c>
    </row>
    <row r="4" spans="1:6" x14ac:dyDescent="0.3">
      <c r="A4" t="s">
        <v>4</v>
      </c>
      <c r="B4" s="1">
        <v>22872213</v>
      </c>
      <c r="C4" s="1">
        <v>141</v>
      </c>
      <c r="D4" s="1">
        <v>116</v>
      </c>
      <c r="E4" s="1">
        <f>SUM(C3:C6)</f>
        <v>519</v>
      </c>
      <c r="F4" s="2">
        <f t="shared" si="0"/>
        <v>22691.289207563783</v>
      </c>
    </row>
    <row r="5" spans="1:6" x14ac:dyDescent="0.3">
      <c r="A5" t="s">
        <v>5</v>
      </c>
      <c r="B5" s="1">
        <v>22872213</v>
      </c>
      <c r="C5" s="1">
        <v>121</v>
      </c>
      <c r="D5" s="1">
        <v>81</v>
      </c>
      <c r="E5" s="1">
        <f t="shared" ref="E5:E21" si="1">SUM(C4:C7)</f>
        <v>510</v>
      </c>
      <c r="F5" s="2">
        <f t="shared" si="0"/>
        <v>22297.798643270766</v>
      </c>
    </row>
    <row r="6" spans="1:6" x14ac:dyDescent="0.3">
      <c r="A6" t="s">
        <v>6</v>
      </c>
      <c r="B6" s="1">
        <v>22872213</v>
      </c>
      <c r="C6" s="1">
        <v>147</v>
      </c>
      <c r="D6" s="1">
        <v>126</v>
      </c>
      <c r="E6" s="1">
        <f t="shared" si="1"/>
        <v>433</v>
      </c>
      <c r="F6" s="2">
        <f t="shared" si="0"/>
        <v>18931.268259874985</v>
      </c>
    </row>
    <row r="7" spans="1:6" x14ac:dyDescent="0.3">
      <c r="A7" t="s">
        <v>7</v>
      </c>
      <c r="B7" s="1">
        <v>22872213</v>
      </c>
      <c r="C7" s="1">
        <v>101</v>
      </c>
      <c r="D7" s="1">
        <v>120</v>
      </c>
      <c r="E7" s="1">
        <f t="shared" si="1"/>
        <v>384</v>
      </c>
      <c r="F7" s="2">
        <f t="shared" si="0"/>
        <v>16788.930743168577</v>
      </c>
    </row>
    <row r="8" spans="1:6" x14ac:dyDescent="0.3">
      <c r="A8" t="s">
        <v>8</v>
      </c>
      <c r="B8" s="1">
        <v>22872213</v>
      </c>
      <c r="C8" s="1">
        <v>64</v>
      </c>
      <c r="D8" s="1">
        <v>27</v>
      </c>
      <c r="E8" s="1">
        <f t="shared" si="1"/>
        <v>390</v>
      </c>
      <c r="F8" s="2">
        <f t="shared" si="0"/>
        <v>17051.257786030586</v>
      </c>
    </row>
    <row r="9" spans="1:6" x14ac:dyDescent="0.3">
      <c r="A9" t="s">
        <v>9</v>
      </c>
      <c r="B9" s="1">
        <v>22872213</v>
      </c>
      <c r="C9" s="1">
        <v>72</v>
      </c>
      <c r="D9" s="1">
        <v>74</v>
      </c>
      <c r="E9" s="1">
        <f t="shared" si="1"/>
        <v>377</v>
      </c>
      <c r="F9" s="2">
        <f t="shared" si="0"/>
        <v>16482.882526496236</v>
      </c>
    </row>
    <row r="10" spans="1:6" x14ac:dyDescent="0.3">
      <c r="A10" t="s">
        <v>10</v>
      </c>
      <c r="B10" s="1">
        <v>22872213</v>
      </c>
      <c r="C10" s="1">
        <v>153</v>
      </c>
      <c r="D10" s="1">
        <v>172</v>
      </c>
      <c r="E10" s="1">
        <f t="shared" si="1"/>
        <v>423</v>
      </c>
      <c r="F10" s="2">
        <f t="shared" si="0"/>
        <v>18494.056521771636</v>
      </c>
    </row>
    <row r="11" spans="1:6" x14ac:dyDescent="0.3">
      <c r="A11" t="s">
        <v>11</v>
      </c>
      <c r="B11" s="1">
        <v>22872213</v>
      </c>
      <c r="C11" s="1">
        <v>88</v>
      </c>
      <c r="D11" s="1">
        <v>87</v>
      </c>
      <c r="E11" s="1">
        <f t="shared" si="1"/>
        <v>441</v>
      </c>
      <c r="F11" s="2">
        <f t="shared" si="0"/>
        <v>19281.037650357663</v>
      </c>
    </row>
    <row r="12" spans="1:6" x14ac:dyDescent="0.3">
      <c r="A12" t="s">
        <v>12</v>
      </c>
      <c r="B12" s="1">
        <v>22872213</v>
      </c>
      <c r="C12" s="1">
        <v>110</v>
      </c>
      <c r="D12" s="1">
        <v>9</v>
      </c>
      <c r="E12" s="1">
        <f t="shared" si="1"/>
        <v>343</v>
      </c>
      <c r="F12" s="2">
        <f t="shared" si="0"/>
        <v>14996.362616944851</v>
      </c>
    </row>
    <row r="13" spans="1:6" x14ac:dyDescent="0.3">
      <c r="A13" t="s">
        <v>13</v>
      </c>
      <c r="B13" s="1">
        <v>22872213</v>
      </c>
      <c r="C13" s="1">
        <v>90</v>
      </c>
      <c r="D13" s="1">
        <v>113</v>
      </c>
      <c r="E13" s="1">
        <f t="shared" si="1"/>
        <v>288</v>
      </c>
      <c r="F13" s="2">
        <f t="shared" si="0"/>
        <v>12591.698057376434</v>
      </c>
    </row>
    <row r="14" spans="1:6" x14ac:dyDescent="0.3">
      <c r="A14" t="s">
        <v>14</v>
      </c>
      <c r="B14" s="1">
        <v>22872213</v>
      </c>
      <c r="C14" s="1">
        <v>55</v>
      </c>
      <c r="D14" s="1">
        <v>72</v>
      </c>
      <c r="E14" s="1">
        <f t="shared" si="1"/>
        <v>193</v>
      </c>
      <c r="F14" s="2">
        <f t="shared" si="0"/>
        <v>8438.186545394623</v>
      </c>
    </row>
    <row r="15" spans="1:6" x14ac:dyDescent="0.3">
      <c r="A15" t="s">
        <v>15</v>
      </c>
      <c r="B15" s="1">
        <v>22872213</v>
      </c>
      <c r="C15" s="1">
        <v>33</v>
      </c>
      <c r="D15" s="1">
        <v>38</v>
      </c>
      <c r="E15" s="1">
        <f t="shared" si="1"/>
        <v>149</v>
      </c>
      <c r="F15" s="2">
        <f t="shared" si="0"/>
        <v>6514.4548977398899</v>
      </c>
    </row>
    <row r="16" spans="1:6" x14ac:dyDescent="0.3">
      <c r="A16" t="s">
        <v>16</v>
      </c>
      <c r="B16" s="1">
        <v>22872213</v>
      </c>
      <c r="C16" s="1">
        <v>15</v>
      </c>
      <c r="D16" s="1">
        <v>13</v>
      </c>
      <c r="E16" s="1">
        <f t="shared" si="1"/>
        <v>162</v>
      </c>
      <c r="F16" s="2">
        <f t="shared" si="0"/>
        <v>7082.8301572742439</v>
      </c>
    </row>
    <row r="17" spans="1:6" x14ac:dyDescent="0.3">
      <c r="A17" t="s">
        <v>17</v>
      </c>
      <c r="B17" s="1">
        <v>22872213</v>
      </c>
      <c r="C17" s="1">
        <v>46</v>
      </c>
      <c r="D17" s="1">
        <v>51</v>
      </c>
      <c r="E17" s="1">
        <f t="shared" si="1"/>
        <v>175</v>
      </c>
      <c r="F17" s="2">
        <f t="shared" si="0"/>
        <v>7651.205416808597</v>
      </c>
    </row>
    <row r="18" spans="1:6" x14ac:dyDescent="0.3">
      <c r="A18" t="s">
        <v>18</v>
      </c>
      <c r="B18" s="1">
        <v>22872213</v>
      </c>
      <c r="C18" s="1">
        <v>68</v>
      </c>
      <c r="D18" s="1">
        <v>54</v>
      </c>
      <c r="E18" s="1">
        <f t="shared" si="1"/>
        <v>184</v>
      </c>
      <c r="F18" s="2">
        <f t="shared" si="0"/>
        <v>8044.6959811016095</v>
      </c>
    </row>
    <row r="19" spans="1:6" x14ac:dyDescent="0.3">
      <c r="A19" t="s">
        <v>19</v>
      </c>
      <c r="B19" s="1">
        <v>22872213</v>
      </c>
      <c r="C19" s="1">
        <v>46</v>
      </c>
      <c r="D19" s="1">
        <v>53</v>
      </c>
      <c r="E19" s="1">
        <f t="shared" si="1"/>
        <v>177</v>
      </c>
      <c r="F19" s="2">
        <f t="shared" si="0"/>
        <v>7738.6477644292663</v>
      </c>
    </row>
    <row r="20" spans="1:6" x14ac:dyDescent="0.3">
      <c r="A20" t="s">
        <v>20</v>
      </c>
      <c r="B20" s="1">
        <v>22872213</v>
      </c>
      <c r="C20" s="1">
        <v>24</v>
      </c>
      <c r="D20" s="1">
        <v>3</v>
      </c>
      <c r="E20" s="1">
        <f t="shared" si="1"/>
        <v>166</v>
      </c>
      <c r="F20" s="2">
        <f t="shared" si="0"/>
        <v>7257.7148525155826</v>
      </c>
    </row>
    <row r="21" spans="1:6" x14ac:dyDescent="0.3">
      <c r="A21" t="s">
        <v>21</v>
      </c>
      <c r="B21" s="1">
        <v>22872213</v>
      </c>
      <c r="C21" s="1">
        <v>39</v>
      </c>
      <c r="D21" s="1">
        <v>31</v>
      </c>
      <c r="E21" s="1">
        <f t="shared" si="1"/>
        <v>182</v>
      </c>
      <c r="F21" s="2">
        <f t="shared" si="0"/>
        <v>7957.2536334809402</v>
      </c>
    </row>
    <row r="22" spans="1:6" x14ac:dyDescent="0.3">
      <c r="A22" t="s">
        <v>22</v>
      </c>
      <c r="B22" s="1">
        <v>22872213</v>
      </c>
      <c r="C22" s="1">
        <v>57</v>
      </c>
      <c r="D22" s="1">
        <v>46</v>
      </c>
      <c r="F22" s="2"/>
    </row>
    <row r="23" spans="1:6" x14ac:dyDescent="0.3">
      <c r="A23" t="s">
        <v>23</v>
      </c>
      <c r="B23" s="1">
        <v>22872213</v>
      </c>
      <c r="C23" s="1">
        <v>62</v>
      </c>
      <c r="D23" s="1">
        <v>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비츠로셀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2025-02-01T04:14:28Z</dcterms:modified>
</cp:coreProperties>
</file>