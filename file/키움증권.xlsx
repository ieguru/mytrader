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1F63716F-6018-4D51-B08F-CCE6B4838F3C}" xr6:coauthVersionLast="47" xr6:coauthVersionMax="47" xr10:uidLastSave="{00000000-0000-0000-0000-000000000000}"/>
  <bookViews>
    <workbookView xWindow="12210" yWindow="3045" windowWidth="15878" windowHeight="13455" xr2:uid="{C8D1CA31-9A8D-48BC-97FC-23CBA29A2F93}"/>
  </bookViews>
  <sheets>
    <sheet name="키움증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E5" i="1"/>
  <c r="E6" i="1"/>
  <c r="E7" i="1"/>
  <c r="E8" i="1"/>
  <c r="E9" i="1"/>
  <c r="E10" i="1"/>
  <c r="E11" i="1"/>
  <c r="E12" i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3" i="1"/>
  <c r="F3" i="1" s="1"/>
  <c r="E2" i="1"/>
  <c r="F2" i="1" s="1"/>
  <c r="F5" i="1"/>
  <c r="F8" i="1"/>
  <c r="F9" i="1"/>
  <c r="F10" i="1"/>
  <c r="F11" i="1"/>
  <c r="F12" i="1"/>
  <c r="F7" i="1"/>
  <c r="F6" i="1"/>
</calcChain>
</file>

<file path=xl/sharedStrings.xml><?xml version="1.0" encoding="utf-8"?>
<sst xmlns="http://schemas.openxmlformats.org/spreadsheetml/2006/main" count="31" uniqueCount="31">
  <si>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</si>
  <si>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</si>
  <si>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</si>
  <si>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</si>
  <si>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</si>
  <si>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</si>
  <si>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</si>
  <si>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</si>
  <si>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</si>
  <si>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</si>
  <si>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</si>
  <si>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</si>
  <si>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</si>
  <si>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</si>
  <si>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</si>
  <si>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</si>
  <si>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</si>
  <si>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</si>
  <si>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</si>
  <si>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</si>
  <si>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</si>
  <si>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</si>
  <si>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</si>
  <si>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</si>
  <si>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</si>
  <si>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</si>
  <si>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</si>
  <si>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2025.2Q</t>
    <phoneticPr fontId="18" type="noConversion"/>
  </si>
  <si>
    <t>2020.3Q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</si>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</sst>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3" fontId="0" fillId="33" borderId="10" xfId="0" applyNumberFormat="1" applyFill="1" applyBorder="1">
      <alignment vertical="center"/>
    </xf>
    <xf numFmtId="41" fontId="0" fillId="33" borderId="10" xfId="42" applyFont="1" applyFill="1" applyBorder="1">
      <alignment vertical="center"/>
    </xf>
    <xf numFmtId="41" fontId="14" fillId="34" borderId="10" xfId="42" applyFont="1" applyFill="1" applyBorder="1">
      <alignment vertical="center"/>
    </xf>
    <xf numFmtId="41" fontId="19" fillId="35" borderId="10" xfId="42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6"/>
  <sheetViews>
    <sheetView tabSelected="1" workbookViewId="0">
      <selection activeCell="F2" sqref="F2"/>
    </sheetView>
  </sheetViews>
  <sheetFormatPr defaultRowHeight="16.899999999999999" x14ac:dyDescent="0.6"/>
  <cols>
    <col min="2" max="2" width="11.3125" bestFit="1" customWidth="1"/>
    <col min="3" max="4" width="10" bestFit="1" customWidth="1"/>
    <col min="5" max="5" width="9.0625" bestFit="1" customWidth="1"/>
    <col min="6" max="6" width="11.1875" customWidth="1"/>
  </cols>
  <sheetData>
    <row r="1" spans="1:6" x14ac:dyDescent="0.6">
      <c r="A1" s="1" t="s">
        <v>0</v>
      </c>
      <c r="B1" s="1" t="s">
        <v>21</v>
      </c>
      <c r="C1" s="1" t="s">
        <v>1</v>
      </c>
      <c r="D1" s="1" t="s">
        <v>2</v>
      </c>
      <c r="E1" s="1" t="s">
        <v>22</v>
      </c>
      <c r="F1" s="1" t="s">
        <v>23</v>
      </c>
    </row>
    <row r="2" spans="1:6" x14ac:dyDescent="0.6">
      <c r="A2" s="2" t="s">
        <v>30</v>
      </c>
      <c r="B2" s="3">
        <v>27025722</v>
      </c>
      <c r="C2" s="5">
        <v>4813.8999999999996</v>
      </c>
      <c r="D2" s="5">
        <v>3690</v>
      </c>
      <c r="E2" s="4">
        <f>(C2*2+C3*2)</f>
        <v>20130.8</v>
      </c>
      <c r="F2" s="4">
        <f>E2*100000000/B2*6</f>
        <v>446925.34023697872</v>
      </c>
    </row>
    <row r="3" spans="1:6" x14ac:dyDescent="0.6">
      <c r="A3" s="2" t="s">
        <v>29</v>
      </c>
      <c r="B3" s="3">
        <v>27025722</v>
      </c>
      <c r="C3" s="5">
        <v>5251.5</v>
      </c>
      <c r="D3" s="5">
        <v>4001.2</v>
      </c>
      <c r="E3" s="4">
        <f>(C2*2+C3*2)</f>
        <v>20130.8</v>
      </c>
      <c r="F3" s="4">
        <f>E3*100000000/B3*6</f>
        <v>446925.34023697872</v>
      </c>
    </row>
    <row r="4" spans="1:6" x14ac:dyDescent="0.6">
      <c r="A4" s="2" t="s">
        <v>26</v>
      </c>
      <c r="B4" s="3">
        <v>27025722</v>
      </c>
      <c r="C4" s="5">
        <v>5446.3</v>
      </c>
      <c r="D4" s="5">
        <v>4179</v>
      </c>
      <c r="E4" s="4">
        <f t="shared" ref="E4:E26" si="0">(C3*2+C4*2)</f>
        <v>21395.599999999999</v>
      </c>
      <c r="F4" s="4">
        <f t="shared" ref="F4:F26" si="1">E4*100000000/B4*6</f>
        <v>475005.25610379619</v>
      </c>
    </row>
    <row r="5" spans="1:6" x14ac:dyDescent="0.6">
      <c r="A5" s="2" t="s">
        <v>25</v>
      </c>
      <c r="B5" s="3">
        <v>27025722</v>
      </c>
      <c r="C5" s="6">
        <v>3456.1</v>
      </c>
      <c r="D5" s="6">
        <v>2466.4</v>
      </c>
      <c r="E5" s="4">
        <f t="shared" si="0"/>
        <v>17804.8</v>
      </c>
      <c r="F5" s="4">
        <f t="shared" si="1"/>
        <v>395285.64676273963</v>
      </c>
    </row>
    <row r="6" spans="1:6" x14ac:dyDescent="0.6">
      <c r="A6" s="2" t="s">
        <v>24</v>
      </c>
      <c r="B6" s="3">
        <v>27025722</v>
      </c>
      <c r="C6" s="6">
        <v>4089</v>
      </c>
      <c r="D6" s="6">
        <v>3219.1</v>
      </c>
      <c r="E6" s="4">
        <f t="shared" si="0"/>
        <v>15090.2</v>
      </c>
      <c r="F6" s="4">
        <f t="shared" si="1"/>
        <v>335018.61670892639</v>
      </c>
    </row>
    <row r="7" spans="1:6" x14ac:dyDescent="0.6">
      <c r="A7" s="2" t="s">
        <v>27</v>
      </c>
      <c r="B7" s="3">
        <v>27025722</v>
      </c>
      <c r="C7" s="4">
        <v>4083</v>
      </c>
      <c r="D7" s="4">
        <v>3101</v>
      </c>
      <c r="E7" s="4">
        <f t="shared" si="0"/>
        <v>16344</v>
      </c>
      <c r="F7" s="4">
        <f t="shared" si="1"/>
        <v>362854.32078373339</v>
      </c>
    </row>
    <row r="8" spans="1:6" x14ac:dyDescent="0.6">
      <c r="A8" s="2" t="s">
        <v>3</v>
      </c>
      <c r="B8" s="3">
        <v>27025722</v>
      </c>
      <c r="C8" s="4">
        <v>3255</v>
      </c>
      <c r="D8" s="4">
        <v>2356</v>
      </c>
      <c r="E8" s="4">
        <f t="shared" si="0"/>
        <v>14676</v>
      </c>
      <c r="F8" s="4">
        <f t="shared" si="1"/>
        <v>325822.93268612766</v>
      </c>
    </row>
    <row r="9" spans="1:6" x14ac:dyDescent="0.6">
      <c r="A9" s="2" t="s">
        <v>4</v>
      </c>
      <c r="B9" s="3">
        <v>27025722</v>
      </c>
      <c r="C9" s="4">
        <v>1802</v>
      </c>
      <c r="D9" s="4">
        <v>1463</v>
      </c>
      <c r="E9" s="4">
        <f t="shared" si="0"/>
        <v>10114</v>
      </c>
      <c r="F9" s="4">
        <f t="shared" si="1"/>
        <v>224541.64221773611</v>
      </c>
    </row>
    <row r="10" spans="1:6" x14ac:dyDescent="0.6">
      <c r="A10" s="2" t="s">
        <v>5</v>
      </c>
      <c r="B10" s="3">
        <v>27025722</v>
      </c>
      <c r="C10" s="4">
        <v>2680</v>
      </c>
      <c r="D10" s="4">
        <v>2116</v>
      </c>
      <c r="E10" s="4">
        <f t="shared" si="0"/>
        <v>8964</v>
      </c>
      <c r="F10" s="4">
        <f t="shared" si="1"/>
        <v>199010.40941662909</v>
      </c>
    </row>
    <row r="11" spans="1:6" x14ac:dyDescent="0.6">
      <c r="A11" s="2" t="s">
        <v>6</v>
      </c>
      <c r="B11" s="3">
        <v>27025722</v>
      </c>
      <c r="C11" s="4">
        <v>3123</v>
      </c>
      <c r="D11" s="4">
        <v>2321</v>
      </c>
      <c r="E11" s="4">
        <f t="shared" si="0"/>
        <v>11606</v>
      </c>
      <c r="F11" s="4">
        <f t="shared" si="1"/>
        <v>257665.64164317239</v>
      </c>
    </row>
    <row r="12" spans="1:6" x14ac:dyDescent="0.6">
      <c r="A12" s="2" t="s">
        <v>7</v>
      </c>
      <c r="B12" s="3">
        <v>27025722</v>
      </c>
      <c r="C12" s="4">
        <v>3377</v>
      </c>
      <c r="D12" s="4">
        <v>2448</v>
      </c>
      <c r="E12" s="4">
        <f t="shared" si="0"/>
        <v>13000</v>
      </c>
      <c r="F12" s="4">
        <f t="shared" si="1"/>
        <v>288613.93601251428</v>
      </c>
    </row>
    <row r="13" spans="1:6" x14ac:dyDescent="0.6">
      <c r="A13" s="2" t="s">
        <v>8</v>
      </c>
      <c r="B13" s="3">
        <v>27025722</v>
      </c>
      <c r="C13" s="4">
        <v>-2770</v>
      </c>
      <c r="D13" s="4">
        <v>-1892</v>
      </c>
      <c r="E13" s="4">
        <f t="shared" si="0"/>
        <v>1214</v>
      </c>
      <c r="F13" s="4">
        <f t="shared" si="1"/>
        <v>26952.101409168645</v>
      </c>
    </row>
    <row r="14" spans="1:6" x14ac:dyDescent="0.6">
      <c r="A14" s="2" t="s">
        <v>9</v>
      </c>
      <c r="B14" s="3">
        <v>27025722</v>
      </c>
      <c r="C14" s="4">
        <v>2719</v>
      </c>
      <c r="D14" s="4">
        <v>2041</v>
      </c>
      <c r="E14" s="4">
        <f t="shared" si="0"/>
        <v>-102</v>
      </c>
      <c r="F14" s="4">
        <f t="shared" si="1"/>
        <v>-2264.5093440981891</v>
      </c>
    </row>
    <row r="15" spans="1:6" x14ac:dyDescent="0.6">
      <c r="A15" s="2" t="s">
        <v>10</v>
      </c>
      <c r="B15" s="3">
        <v>27025722</v>
      </c>
      <c r="C15" s="4">
        <v>1809</v>
      </c>
      <c r="D15" s="4">
        <v>1334</v>
      </c>
      <c r="E15" s="4">
        <f t="shared" si="0"/>
        <v>9056</v>
      </c>
      <c r="F15" s="4">
        <f t="shared" si="1"/>
        <v>201052.90804071765</v>
      </c>
    </row>
    <row r="16" spans="1:6" x14ac:dyDescent="0.6">
      <c r="A16" s="2" t="s">
        <v>11</v>
      </c>
      <c r="B16" s="3">
        <v>27025722</v>
      </c>
      <c r="C16" s="4">
        <v>3889</v>
      </c>
      <c r="D16" s="4">
        <v>2924</v>
      </c>
      <c r="E16" s="4">
        <f t="shared" si="0"/>
        <v>11396</v>
      </c>
      <c r="F16" s="4">
        <f t="shared" si="1"/>
        <v>253003.41652297025</v>
      </c>
    </row>
    <row r="17" spans="1:6" x14ac:dyDescent="0.6">
      <c r="A17" s="2" t="s">
        <v>12</v>
      </c>
      <c r="B17" s="3">
        <v>27025722</v>
      </c>
      <c r="C17" s="4">
        <v>1367</v>
      </c>
      <c r="D17" s="4">
        <v>1343</v>
      </c>
      <c r="E17" s="4">
        <f t="shared" si="0"/>
        <v>10512</v>
      </c>
      <c r="F17" s="4">
        <f t="shared" si="1"/>
        <v>233377.66887411923</v>
      </c>
    </row>
    <row r="18" spans="1:6" x14ac:dyDescent="0.6">
      <c r="A18" s="2" t="s">
        <v>13</v>
      </c>
      <c r="B18" s="3">
        <v>27025722</v>
      </c>
      <c r="C18" s="4">
        <v>1792</v>
      </c>
      <c r="D18" s="4">
        <v>1241</v>
      </c>
      <c r="E18" s="4">
        <f t="shared" si="0"/>
        <v>6318</v>
      </c>
      <c r="F18" s="4">
        <f t="shared" si="1"/>
        <v>140266.37290208196</v>
      </c>
    </row>
    <row r="19" spans="1:6" x14ac:dyDescent="0.6">
      <c r="A19" s="2" t="s">
        <v>14</v>
      </c>
      <c r="B19" s="3">
        <v>27025722</v>
      </c>
      <c r="C19" s="4">
        <v>1273</v>
      </c>
      <c r="D19" s="4">
        <v>1087</v>
      </c>
      <c r="E19" s="4">
        <f t="shared" si="0"/>
        <v>6130</v>
      </c>
      <c r="F19" s="4">
        <f t="shared" si="1"/>
        <v>136092.57136590098</v>
      </c>
    </row>
    <row r="20" spans="1:6" x14ac:dyDescent="0.6">
      <c r="A20" s="2" t="s">
        <v>15</v>
      </c>
      <c r="B20" s="3">
        <v>27025722</v>
      </c>
      <c r="C20" s="4">
        <v>2132</v>
      </c>
      <c r="D20" s="4">
        <v>1411</v>
      </c>
      <c r="E20" s="4">
        <f t="shared" si="0"/>
        <v>6810</v>
      </c>
      <c r="F20" s="4">
        <f t="shared" si="1"/>
        <v>151189.30032655556</v>
      </c>
    </row>
    <row r="21" spans="1:6" x14ac:dyDescent="0.6">
      <c r="A21" s="2" t="s">
        <v>16</v>
      </c>
      <c r="B21" s="3">
        <v>27025722</v>
      </c>
      <c r="C21" s="4">
        <v>2481</v>
      </c>
      <c r="D21" s="4">
        <v>1887</v>
      </c>
      <c r="E21" s="4">
        <f t="shared" si="0"/>
        <v>9226</v>
      </c>
      <c r="F21" s="4">
        <f t="shared" si="1"/>
        <v>204827.0902808813</v>
      </c>
    </row>
    <row r="22" spans="1:6" x14ac:dyDescent="0.6">
      <c r="A22" s="2" t="s">
        <v>17</v>
      </c>
      <c r="B22" s="3">
        <v>27025722</v>
      </c>
      <c r="C22" s="4">
        <v>3209</v>
      </c>
      <c r="D22" s="4">
        <v>2335</v>
      </c>
      <c r="E22" s="4">
        <f t="shared" si="0"/>
        <v>11380</v>
      </c>
      <c r="F22" s="4">
        <f t="shared" si="1"/>
        <v>252648.19937095483</v>
      </c>
    </row>
    <row r="23" spans="1:6" x14ac:dyDescent="0.6">
      <c r="A23" s="2" t="s">
        <v>18</v>
      </c>
      <c r="B23" s="3">
        <v>27025722</v>
      </c>
      <c r="C23" s="4">
        <v>2926</v>
      </c>
      <c r="D23" s="4">
        <v>2212</v>
      </c>
      <c r="E23" s="4">
        <f t="shared" si="0"/>
        <v>12270</v>
      </c>
      <c r="F23" s="4">
        <f t="shared" si="1"/>
        <v>272407.15345181158</v>
      </c>
    </row>
    <row r="24" spans="1:6" x14ac:dyDescent="0.6">
      <c r="A24" s="2" t="s">
        <v>19</v>
      </c>
      <c r="B24" s="3">
        <v>27025722</v>
      </c>
      <c r="C24" s="4">
        <v>3472</v>
      </c>
      <c r="D24" s="4">
        <v>2668</v>
      </c>
      <c r="E24" s="4">
        <f t="shared" si="0"/>
        <v>12796</v>
      </c>
      <c r="F24" s="4">
        <f t="shared" si="1"/>
        <v>284084.91732431797</v>
      </c>
    </row>
    <row r="25" spans="1:6" x14ac:dyDescent="0.6">
      <c r="A25" s="2" t="s">
        <v>20</v>
      </c>
      <c r="B25" s="3">
        <v>27025722</v>
      </c>
      <c r="C25" s="4">
        <v>2891</v>
      </c>
      <c r="D25" s="4">
        <v>2142</v>
      </c>
      <c r="E25" s="4">
        <f t="shared" si="0"/>
        <v>12726</v>
      </c>
      <c r="F25" s="4">
        <f t="shared" si="1"/>
        <v>282530.84228425054</v>
      </c>
    </row>
    <row r="26" spans="1:6" x14ac:dyDescent="0.6">
      <c r="A26" s="2" t="s">
        <v>28</v>
      </c>
      <c r="B26" s="3">
        <v>27025722</v>
      </c>
      <c r="C26" s="4">
        <v>3555</v>
      </c>
      <c r="D26" s="4">
        <v>2637</v>
      </c>
      <c r="E26" s="4">
        <f t="shared" si="0"/>
        <v>12892</v>
      </c>
      <c r="F26" s="4">
        <f t="shared" si="1"/>
        <v>286216.22023641033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키움증권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2026-05-06T23:14:57Z</dcterms:modified>
</cp:coreProperties>
</file>