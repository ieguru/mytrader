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내 드라이브\Colab Notebooks\FIN\"/>
    </mc:Choice>
  </mc:AlternateContent>
  <xr:revisionPtr revIDLastSave="0" documentId="13_ncr:1_{1A4B8B7C-BBF8-43AA-BC93-36A867B51AA0}" xr6:coauthVersionLast="47" xr6:coauthVersionMax="47" xr10:uidLastSave="{00000000-0000-0000-0000-000000000000}"/>
  <bookViews>
    <workbookView xWindow="-98" yWindow="-98" windowWidth="28996" windowHeight="15675" xr2:uid="{574589F6-5CF4-430A-9C77-3C46C2002903}"/>
  </bookViews>
  <sheets>
    <sheet name="에스엠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<sst xmlns="http://schemas.openxmlformats.org/spreadsheetml/2006/main" count="28" uniqueCount="28">
  <si>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</si>
  <si>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</si>
  <si>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</si>
  <si>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</si>
  <si>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</si>
  <si>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</si>
  <si>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</si>
  <si>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</si>
  <si>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</si>
  <si>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</si>
  <si>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</si>
  <si>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</si>
  <si>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</si>
  <si>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</si>
  <si>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</si>
  <si>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</si>
  <si>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</si>
  <si>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</si>
  <si>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</si>
  <si>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</si>
  <si>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</si>
  <si>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2025.2Q</t>
    <phoneticPr fontId="18" type="noConversion"/>
  </si>
  <si>
    <t>4Q_income</t>
  </si>
  <si>
    <t>목표가</t>
  </si>
  <si>
    <t>상장주식수</t>
  </si>
  <si>
    <t>2020.3Q</t>
    <phoneticPr fontId="18" type="noConversion"/>
  </si>
  <si>
    <t>2020.2Q</t>
    <phoneticPr fontId="18" type="noConversion"/>
  </si>
  <si>
    <t>2020.1Q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</si>
</sst>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3"/>
  <sheetViews>
    <sheetView tabSelected="1" workbookViewId="0">
      <selection activeCell="J19" sqref="J19"/>
    </sheetView>
  </sheetViews>
  <sheetFormatPr defaultRowHeight="16.899999999999999" x14ac:dyDescent="0.6"/>
  <cols>
    <col min="2" max="2" width="10.25" bestFit="1" customWidth="1"/>
    <col min="5" max="5" width="12.875" customWidth="1"/>
    <col min="6" max="6" width="8.25" bestFit="1" customWidth="1"/>
  </cols>
  <sheetData>
    <row r="1" spans="1:6" x14ac:dyDescent="0.6">
      <c r="A1" t="s">
        <v>0</v>
      </c>
      <c r="B1" t="s">
        <v>24</v>
      </c>
      <c r="C1" t="s">
        <v>1</v>
      </c>
      <c r="D1" t="s">
        <v>2</v>
      </c>
      <c r="E1" t="s">
        <v>22</v>
      </c>
      <c r="F1" t="s">
        <v>23</v>
      </c>
    </row>
    <row r="2" spans="1:6" x14ac:dyDescent="0.6">
      <c r="A2" t="s">
        <v>21</v>
      </c>
      <c r="B2" s="1">
        <v>23353627</v>
      </c>
      <c r="C2">
        <v>315</v>
      </c>
      <c r="D2">
        <v>218</v>
      </c>
      <c r="E2">
        <f>SUM(C2:C5)</f>
        <v>852</v>
      </c>
      <c r="F2" s="2">
        <f>E2*100000000/B2*20</f>
        <v>72965.111586307336</v>
      </c>
    </row>
    <row r="3" spans="1:6" x14ac:dyDescent="0.6">
      <c r="A3" t="s">
        <v>3</v>
      </c>
      <c r="B3" s="1">
        <v>23353627</v>
      </c>
      <c r="C3">
        <v>184</v>
      </c>
      <c r="D3">
        <v>89</v>
      </c>
      <c r="E3">
        <f>SUM(C2:C5)</f>
        <v>852</v>
      </c>
      <c r="F3" s="2">
        <f t="shared" ref="F3:F20" si="0">E3*100000000/B3*20</f>
        <v>72965.111586307336</v>
      </c>
    </row>
    <row r="4" spans="1:6" x14ac:dyDescent="0.6">
      <c r="A4" t="s">
        <v>4</v>
      </c>
      <c r="B4" s="1">
        <v>23353627</v>
      </c>
      <c r="C4" s="1">
        <v>220</v>
      </c>
      <c r="D4" s="1">
        <v>158</v>
      </c>
      <c r="E4">
        <f t="shared" ref="E4:E20" si="1">SUM(C3:C6)</f>
        <v>784</v>
      </c>
      <c r="F4" s="2">
        <f t="shared" si="0"/>
        <v>67141.605027775775</v>
      </c>
    </row>
    <row r="5" spans="1:6" x14ac:dyDescent="0.6">
      <c r="A5" t="s">
        <v>5</v>
      </c>
      <c r="B5" s="1">
        <v>23353627</v>
      </c>
      <c r="C5" s="1">
        <v>133</v>
      </c>
      <c r="D5" s="1">
        <v>37</v>
      </c>
      <c r="E5">
        <f t="shared" si="1"/>
        <v>755</v>
      </c>
      <c r="F5" s="2">
        <f t="shared" si="0"/>
        <v>64658.05076016672</v>
      </c>
    </row>
    <row r="6" spans="1:6" x14ac:dyDescent="0.6">
      <c r="A6" t="s">
        <v>6</v>
      </c>
      <c r="B6" s="1">
        <v>23353627</v>
      </c>
      <c r="C6" s="1">
        <v>247</v>
      </c>
      <c r="D6" s="1">
        <v>84</v>
      </c>
      <c r="E6">
        <f t="shared" si="1"/>
        <v>625</v>
      </c>
      <c r="F6" s="2">
        <f t="shared" si="0"/>
        <v>53524.876457091654</v>
      </c>
    </row>
    <row r="7" spans="1:6" x14ac:dyDescent="0.6">
      <c r="A7" t="s">
        <v>7</v>
      </c>
      <c r="B7" s="1">
        <v>23353627</v>
      </c>
      <c r="C7" s="1">
        <v>155</v>
      </c>
      <c r="D7" s="1">
        <v>124</v>
      </c>
      <c r="E7">
        <f t="shared" si="1"/>
        <v>997</v>
      </c>
      <c r="F7" s="2">
        <f t="shared" si="0"/>
        <v>85382.882924352598</v>
      </c>
    </row>
    <row r="8" spans="1:6" x14ac:dyDescent="0.6">
      <c r="A8" t="s">
        <v>8</v>
      </c>
      <c r="B8" s="1">
        <v>23353627</v>
      </c>
      <c r="C8" s="1">
        <v>90</v>
      </c>
      <c r="D8" s="1">
        <v>-528</v>
      </c>
      <c r="E8">
        <f t="shared" si="1"/>
        <v>1107</v>
      </c>
      <c r="F8" s="2">
        <f t="shared" si="0"/>
        <v>94803.26118080075</v>
      </c>
    </row>
    <row r="9" spans="1:6" x14ac:dyDescent="0.6">
      <c r="A9" t="s">
        <v>9</v>
      </c>
      <c r="B9" s="1">
        <v>23353627</v>
      </c>
      <c r="C9" s="1">
        <v>505</v>
      </c>
      <c r="D9">
        <v>842</v>
      </c>
      <c r="E9">
        <f t="shared" si="1"/>
        <v>1135</v>
      </c>
      <c r="F9" s="2">
        <f t="shared" si="0"/>
        <v>97201.175646078453</v>
      </c>
    </row>
    <row r="10" spans="1:6" x14ac:dyDescent="0.6">
      <c r="A10" t="s">
        <v>10</v>
      </c>
      <c r="B10" s="1">
        <v>23353627</v>
      </c>
      <c r="C10">
        <v>357</v>
      </c>
      <c r="D10" s="1">
        <v>283</v>
      </c>
      <c r="E10">
        <f t="shared" si="1"/>
        <v>1272</v>
      </c>
      <c r="F10" s="2">
        <f t="shared" si="0"/>
        <v>108933.82856547294</v>
      </c>
    </row>
    <row r="11" spans="1:6" x14ac:dyDescent="0.6">
      <c r="A11" t="s">
        <v>11</v>
      </c>
      <c r="B11" s="1">
        <v>23353627</v>
      </c>
      <c r="C11">
        <v>183</v>
      </c>
      <c r="D11">
        <v>230</v>
      </c>
      <c r="E11">
        <f t="shared" si="1"/>
        <v>1065</v>
      </c>
      <c r="F11" s="2">
        <f t="shared" si="0"/>
        <v>91206.389482884188</v>
      </c>
    </row>
    <row r="12" spans="1:6" x14ac:dyDescent="0.6">
      <c r="A12" t="s">
        <v>12</v>
      </c>
      <c r="B12" s="1">
        <v>23353627</v>
      </c>
      <c r="C12">
        <v>227</v>
      </c>
      <c r="D12" s="1">
        <v>19</v>
      </c>
      <c r="E12">
        <f t="shared" si="1"/>
        <v>902</v>
      </c>
      <c r="F12" s="2">
        <f t="shared" si="0"/>
        <v>77247.101702874672</v>
      </c>
    </row>
    <row r="13" spans="1:6" x14ac:dyDescent="0.6">
      <c r="A13" t="s">
        <v>13</v>
      </c>
      <c r="B13" s="1">
        <v>23353627</v>
      </c>
      <c r="C13" s="1">
        <v>298</v>
      </c>
      <c r="D13" s="1">
        <v>292</v>
      </c>
      <c r="E13">
        <f t="shared" si="1"/>
        <v>911</v>
      </c>
      <c r="F13" s="2">
        <f t="shared" si="0"/>
        <v>78017.859923856799</v>
      </c>
    </row>
    <row r="14" spans="1:6" x14ac:dyDescent="0.6">
      <c r="A14" t="s">
        <v>14</v>
      </c>
      <c r="B14" s="1">
        <v>23353627</v>
      </c>
      <c r="C14" s="1">
        <v>194</v>
      </c>
      <c r="D14" s="1">
        <v>254</v>
      </c>
      <c r="E14">
        <f t="shared" si="1"/>
        <v>790</v>
      </c>
      <c r="F14" s="2">
        <f t="shared" si="0"/>
        <v>67655.443841763859</v>
      </c>
    </row>
    <row r="15" spans="1:6" x14ac:dyDescent="0.6">
      <c r="A15" t="s">
        <v>15</v>
      </c>
      <c r="B15" s="1">
        <v>23353627</v>
      </c>
      <c r="C15" s="1">
        <v>192</v>
      </c>
      <c r="D15" s="1">
        <v>256</v>
      </c>
      <c r="E15">
        <f t="shared" si="1"/>
        <v>633</v>
      </c>
      <c r="F15" s="2">
        <f t="shared" si="0"/>
        <v>54209.994875742428</v>
      </c>
    </row>
    <row r="16" spans="1:6" x14ac:dyDescent="0.6">
      <c r="A16" t="s">
        <v>16</v>
      </c>
      <c r="B16" s="1">
        <v>23353627</v>
      </c>
      <c r="C16" s="1">
        <v>106</v>
      </c>
      <c r="D16" s="1">
        <v>931</v>
      </c>
      <c r="E16">
        <f t="shared" si="1"/>
        <v>714</v>
      </c>
      <c r="F16" s="2">
        <f t="shared" si="0"/>
        <v>61146.81886458151</v>
      </c>
    </row>
    <row r="17" spans="1:6" x14ac:dyDescent="0.6">
      <c r="A17" t="s">
        <v>17</v>
      </c>
      <c r="B17" s="1">
        <v>23353627</v>
      </c>
      <c r="C17" s="1">
        <v>141</v>
      </c>
      <c r="D17" s="1">
        <v>151</v>
      </c>
      <c r="E17">
        <f t="shared" si="1"/>
        <v>676</v>
      </c>
      <c r="F17" s="2">
        <f t="shared" si="0"/>
        <v>57892.506375990335</v>
      </c>
    </row>
    <row r="18" spans="1:6" x14ac:dyDescent="0.6">
      <c r="A18" t="s">
        <v>18</v>
      </c>
      <c r="B18" s="1">
        <v>23353627</v>
      </c>
      <c r="C18" s="1">
        <v>275</v>
      </c>
      <c r="D18" s="1">
        <v>163</v>
      </c>
      <c r="E18">
        <f t="shared" si="1"/>
        <v>583</v>
      </c>
      <c r="F18" s="2">
        <f t="shared" si="0"/>
        <v>49928.004759175092</v>
      </c>
    </row>
    <row r="19" spans="1:6" x14ac:dyDescent="0.6">
      <c r="A19" t="s">
        <v>19</v>
      </c>
      <c r="B19" s="1">
        <v>23353627</v>
      </c>
      <c r="C19" s="1">
        <v>154</v>
      </c>
      <c r="D19" s="1">
        <v>87</v>
      </c>
      <c r="E19">
        <f t="shared" si="1"/>
        <v>345</v>
      </c>
      <c r="F19" s="2">
        <f t="shared" si="0"/>
        <v>29545.731804314593</v>
      </c>
    </row>
    <row r="20" spans="1:6" x14ac:dyDescent="0.6">
      <c r="A20" t="s">
        <v>20</v>
      </c>
      <c r="B20" s="1">
        <v>23353627</v>
      </c>
      <c r="C20">
        <v>13</v>
      </c>
      <c r="D20">
        <v>-626</v>
      </c>
      <c r="E20">
        <f t="shared" si="1"/>
        <v>202</v>
      </c>
      <c r="F20" s="2">
        <f t="shared" si="0"/>
        <v>17299.240070932025</v>
      </c>
    </row>
    <row r="21" spans="1:6" x14ac:dyDescent="0.6">
      <c r="A21" t="s">
        <v>25</v>
      </c>
      <c r="B21" s="1">
        <v>23353627</v>
      </c>
      <c r="C21" s="1">
        <v>-97</v>
      </c>
      <c r="D21" s="1">
        <v>-157</v>
      </c>
      <c r="F21" s="2"/>
    </row>
    <row r="22" spans="1:6" x14ac:dyDescent="0.6">
      <c r="A22" t="s">
        <v>26</v>
      </c>
      <c r="B22" s="1">
        <v>23353627</v>
      </c>
      <c r="C22">
        <v>132</v>
      </c>
      <c r="D22">
        <v>-2</v>
      </c>
      <c r="F22" s="2"/>
    </row>
    <row r="23" spans="1:6" x14ac:dyDescent="0.6">
      <c r="A23" t="s">
        <v>27</v>
      </c>
      <c r="B23" s="1">
        <v>23353627</v>
      </c>
      <c r="C23">
        <v>17</v>
      </c>
      <c r="D23">
        <v>-19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에스엠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2025-01-31T15:13:54Z</dcterms:created>
  <dcterms:modified xsi:type="dcterms:W3CDTF">2025-02-13T23:28:57Z</dcterms:modified>
</cp:coreProperties>
</file>