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B2A213AE-E5F3-4E8E-A017-3B7A6A676CE4}" xr6:coauthVersionLast="47" xr6:coauthVersionMax="47" xr10:uidLastSave="{00000000-0000-0000-0000-000000000000}"/>
  <bookViews>
    <workbookView xWindow="9825" yWindow="727" windowWidth="16942" windowHeight="14318" xr2:uid="{A008B187-3A0A-45A4-8806-460F3C74B0B4}"/>
  </bookViews>
  <sheets>
    <sheet name="한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<sst xmlns="http://schemas.openxmlformats.org/spreadsheetml/2006/main" count="28" uniqueCount="28">
  <si>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</si>
  <si>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</si>
  <si>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</si>
  <si>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4Q_income</t>
  </si>
  <si>
    <t>목표가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</si>
  <si>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</si>
  <si>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</si>
  <si>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</si>
  <si>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</si>
  <si>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</si>
  <si>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</si>
  <si>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</si>
  <si>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</si>
  <si>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</si>
  <si>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</si>
  <si>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</si>
  <si>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</si>
  <si>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</si>
  <si>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</si>
  <si>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</si>
  <si>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</si>
  <si>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</si>
  <si>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상장주식수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</si>
  <si>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</si>
  <si>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</si>
  <si>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</si>
  <si>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</si>
  <si>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2025.2Q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</si>
</sst>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7BA0-A572-4E4D-957B-A2D5C93FF91D}">
  <dimension ref="A1:F27"/>
  <sheetViews>
    <sheetView tabSelected="1" workbookViewId="0">
      <selection activeCell="F2" sqref="F2"/>
    </sheetView>
  </sheetViews>
  <sheetFormatPr defaultRowHeight="16.899999999999999" x14ac:dyDescent="0.6"/>
  <cols>
    <col min="2" max="2" width="10.8125" bestFit="1" customWidth="1"/>
  </cols>
  <sheetData>
    <row r="1" spans="1:6" x14ac:dyDescent="0.6">
      <c r="A1" t="s">
        <v>0</v>
      </c>
      <c r="B1" t="s">
        <v>22</v>
      </c>
      <c r="C1" t="s">
        <v>1</v>
      </c>
      <c r="D1" t="s">
        <v>2</v>
      </c>
      <c r="E1" t="s">
        <v>3</v>
      </c>
      <c r="F1" t="s">
        <v>4</v>
      </c>
    </row>
    <row r="2" spans="1:6" x14ac:dyDescent="0.6">
      <c r="A2" s="2" t="s">
        <v>23</v>
      </c>
      <c r="B2" s="1">
        <v>74958735</v>
      </c>
      <c r="C2" s="3">
        <v>14180</v>
      </c>
      <c r="D2" s="3">
        <v>500</v>
      </c>
      <c r="E2" s="3">
        <f>(C2*2+C3*2)</f>
        <v>52340</v>
      </c>
      <c r="F2" s="3">
        <f>E2*100000000/B2*5</f>
        <v>349125.4221405951</v>
      </c>
    </row>
    <row r="3" spans="1:6" x14ac:dyDescent="0.6">
      <c r="A3" s="2" t="s">
        <v>24</v>
      </c>
      <c r="B3" s="1">
        <v>74958735</v>
      </c>
      <c r="C3" s="3">
        <v>11990</v>
      </c>
      <c r="D3" s="3">
        <v>1910</v>
      </c>
      <c r="E3" s="3">
        <f>(C2*2+C3*2)</f>
        <v>52340</v>
      </c>
      <c r="F3" s="3">
        <f t="shared" ref="F3:F23" si="0">E3*100000000/B3*5</f>
        <v>349125.4221405951</v>
      </c>
    </row>
    <row r="4" spans="1:6" x14ac:dyDescent="0.6">
      <c r="A4" s="2" t="s">
        <v>25</v>
      </c>
      <c r="B4" s="1">
        <v>74958735</v>
      </c>
      <c r="C4" s="3">
        <v>12943</v>
      </c>
      <c r="D4" s="3">
        <v>3059</v>
      </c>
      <c r="E4" s="3">
        <f>(C3*2+C4+C2)</f>
        <v>51103</v>
      </c>
      <c r="F4" s="3">
        <f t="shared" si="0"/>
        <v>340874.21566012286</v>
      </c>
    </row>
    <row r="5" spans="1:6" x14ac:dyDescent="0.6">
      <c r="A5" s="2" t="s">
        <v>26</v>
      </c>
      <c r="B5" s="1">
        <v>74958735</v>
      </c>
      <c r="C5" s="3">
        <v>13442</v>
      </c>
      <c r="D5" s="3">
        <v>10258</v>
      </c>
      <c r="E5" s="3">
        <f>(C3+C4+C5*2)</f>
        <v>51817</v>
      </c>
      <c r="F5" s="3">
        <f t="shared" si="0"/>
        <v>345636.83605386352</v>
      </c>
    </row>
    <row r="6" spans="1:6" x14ac:dyDescent="0.6">
      <c r="A6" s="2" t="s">
        <v>27</v>
      </c>
      <c r="B6" s="1">
        <v>74958735</v>
      </c>
      <c r="C6" s="3">
        <v>13348</v>
      </c>
      <c r="D6" s="3">
        <v>2687</v>
      </c>
      <c r="E6" s="3">
        <f t="shared" ref="E6:E24" si="1">(C4+C5+C6*2)</f>
        <v>53081</v>
      </c>
      <c r="F6" s="3">
        <f t="shared" si="0"/>
        <v>354068.14162485534</v>
      </c>
    </row>
    <row r="7" spans="1:6" x14ac:dyDescent="0.6">
      <c r="A7" s="2" t="s">
        <v>5</v>
      </c>
      <c r="B7" s="1">
        <v>74958735</v>
      </c>
      <c r="C7" s="3">
        <v>10726</v>
      </c>
      <c r="D7" s="3">
        <v>4657</v>
      </c>
      <c r="E7" s="3">
        <f t="shared" si="1"/>
        <v>48242</v>
      </c>
      <c r="F7" s="3">
        <f t="shared" si="0"/>
        <v>321790.38240173075</v>
      </c>
    </row>
    <row r="8" spans="1:6" x14ac:dyDescent="0.6">
      <c r="A8" s="2" t="s">
        <v>6</v>
      </c>
      <c r="B8" s="1">
        <v>74958735</v>
      </c>
      <c r="C8" s="3">
        <v>11263</v>
      </c>
      <c r="D8" s="3">
        <v>16863</v>
      </c>
      <c r="E8" s="3">
        <f t="shared" si="1"/>
        <v>46600</v>
      </c>
      <c r="F8" s="3">
        <f t="shared" si="0"/>
        <v>310837.68956346449</v>
      </c>
    </row>
    <row r="9" spans="1:6" x14ac:dyDescent="0.6">
      <c r="A9" s="2" t="s">
        <v>7</v>
      </c>
      <c r="B9" s="1">
        <v>74958735</v>
      </c>
      <c r="C9" s="3">
        <v>5254</v>
      </c>
      <c r="D9" s="3">
        <v>1885</v>
      </c>
      <c r="E9" s="3">
        <f t="shared" si="1"/>
        <v>32497</v>
      </c>
      <c r="F9" s="3">
        <f t="shared" si="0"/>
        <v>216765.93128205804</v>
      </c>
    </row>
    <row r="10" spans="1:6" x14ac:dyDescent="0.6">
      <c r="A10" s="2" t="s">
        <v>8</v>
      </c>
      <c r="B10" s="1">
        <v>74958735</v>
      </c>
      <c r="C10" s="3">
        <v>5286</v>
      </c>
      <c r="D10" s="3">
        <v>372</v>
      </c>
      <c r="E10" s="3">
        <f t="shared" si="1"/>
        <v>27089</v>
      </c>
      <c r="F10" s="3">
        <f t="shared" si="0"/>
        <v>180692.75048464999</v>
      </c>
    </row>
    <row r="11" spans="1:6" x14ac:dyDescent="0.6">
      <c r="A11" s="2" t="s">
        <v>9</v>
      </c>
      <c r="B11" s="1">
        <v>74958735</v>
      </c>
      <c r="C11" s="3">
        <v>2358</v>
      </c>
      <c r="D11" s="3">
        <v>-2215</v>
      </c>
      <c r="E11" s="3">
        <f t="shared" si="1"/>
        <v>15256</v>
      </c>
      <c r="F11" s="3">
        <f t="shared" si="0"/>
        <v>101762.6564802621</v>
      </c>
    </row>
    <row r="12" spans="1:6" x14ac:dyDescent="0.6">
      <c r="A12" s="2" t="s">
        <v>10</v>
      </c>
      <c r="B12" s="1">
        <v>74958735</v>
      </c>
      <c r="C12" s="3">
        <v>2317</v>
      </c>
      <c r="D12" s="3">
        <v>103</v>
      </c>
      <c r="E12" s="3">
        <f t="shared" si="1"/>
        <v>12278</v>
      </c>
      <c r="F12" s="3">
        <f t="shared" si="0"/>
        <v>81898.393829618391</v>
      </c>
    </row>
    <row r="13" spans="1:6" x14ac:dyDescent="0.6">
      <c r="A13" s="2" t="s">
        <v>11</v>
      </c>
      <c r="B13" s="1">
        <v>74958735</v>
      </c>
      <c r="C13" s="3">
        <v>5077</v>
      </c>
      <c r="D13" s="3">
        <v>2213</v>
      </c>
      <c r="E13" s="3">
        <f t="shared" si="1"/>
        <v>14829</v>
      </c>
      <c r="F13" s="3">
        <f t="shared" si="0"/>
        <v>98914.422715378008</v>
      </c>
    </row>
    <row r="14" spans="1:6" x14ac:dyDescent="0.6">
      <c r="A14" s="2" t="s">
        <v>12</v>
      </c>
      <c r="B14" s="1">
        <v>74958735</v>
      </c>
      <c r="C14" s="3">
        <v>2987</v>
      </c>
      <c r="D14" s="3">
        <v>2486</v>
      </c>
      <c r="E14" s="3">
        <f t="shared" si="1"/>
        <v>13368</v>
      </c>
      <c r="F14" s="3">
        <f t="shared" si="0"/>
        <v>89169.060817261648</v>
      </c>
    </row>
    <row r="15" spans="1:6" x14ac:dyDescent="0.6">
      <c r="A15" s="2" t="s">
        <v>13</v>
      </c>
      <c r="B15" s="1">
        <v>74958735</v>
      </c>
      <c r="C15" s="3">
        <v>13738</v>
      </c>
      <c r="D15" s="3">
        <v>11553</v>
      </c>
      <c r="E15" s="3">
        <f t="shared" si="1"/>
        <v>35540</v>
      </c>
      <c r="F15" s="3">
        <f t="shared" si="0"/>
        <v>237063.76581728601</v>
      </c>
    </row>
    <row r="16" spans="1:6" x14ac:dyDescent="0.6">
      <c r="A16" s="2" t="s">
        <v>14</v>
      </c>
      <c r="B16" s="1">
        <v>74958735</v>
      </c>
      <c r="C16" s="3">
        <v>672</v>
      </c>
      <c r="D16" s="3">
        <v>-532</v>
      </c>
      <c r="E16" s="3">
        <f t="shared" si="1"/>
        <v>18069</v>
      </c>
      <c r="F16" s="3">
        <f t="shared" si="0"/>
        <v>120526.31357773047</v>
      </c>
    </row>
    <row r="17" spans="1:6" x14ac:dyDescent="0.6">
      <c r="A17" s="2" t="s">
        <v>15</v>
      </c>
      <c r="B17" s="1">
        <v>74958735</v>
      </c>
      <c r="C17" s="3">
        <v>9214</v>
      </c>
      <c r="D17" s="3">
        <v>8549</v>
      </c>
      <c r="E17" s="3">
        <f t="shared" si="1"/>
        <v>32838</v>
      </c>
      <c r="F17" s="3">
        <f t="shared" si="0"/>
        <v>219040.51609195379</v>
      </c>
    </row>
    <row r="18" spans="1:6" x14ac:dyDescent="0.6">
      <c r="A18" s="2" t="s">
        <v>16</v>
      </c>
      <c r="B18" s="1">
        <v>74958735</v>
      </c>
      <c r="C18" s="3">
        <v>9146</v>
      </c>
      <c r="D18" s="3">
        <v>9167</v>
      </c>
      <c r="E18" s="3">
        <f t="shared" si="1"/>
        <v>28178</v>
      </c>
      <c r="F18" s="3">
        <f t="shared" si="0"/>
        <v>187956.74713560732</v>
      </c>
    </row>
    <row r="19" spans="1:6" x14ac:dyDescent="0.6">
      <c r="A19" s="2" t="s">
        <v>17</v>
      </c>
      <c r="B19" s="1">
        <v>74958735</v>
      </c>
      <c r="C19" s="3">
        <v>4665</v>
      </c>
      <c r="D19" s="3">
        <v>2906</v>
      </c>
      <c r="E19" s="3">
        <f t="shared" si="1"/>
        <v>27690</v>
      </c>
      <c r="F19" s="3">
        <f t="shared" si="0"/>
        <v>184701.62283288263</v>
      </c>
    </row>
    <row r="20" spans="1:6" x14ac:dyDescent="0.6">
      <c r="A20" s="2" t="s">
        <v>18</v>
      </c>
      <c r="B20" s="1">
        <v>74958735</v>
      </c>
      <c r="C20" s="3">
        <v>7373</v>
      </c>
      <c r="D20" s="3">
        <v>3743</v>
      </c>
      <c r="E20" s="3">
        <f t="shared" si="1"/>
        <v>28557</v>
      </c>
      <c r="F20" s="3">
        <f t="shared" si="0"/>
        <v>190484.80473956768</v>
      </c>
    </row>
    <row r="21" spans="1:6" x14ac:dyDescent="0.6">
      <c r="A21" s="2" t="s">
        <v>19</v>
      </c>
      <c r="B21" s="1">
        <v>74958735</v>
      </c>
      <c r="C21" s="3">
        <v>5732</v>
      </c>
      <c r="D21" s="3">
        <v>5157</v>
      </c>
      <c r="E21" s="3">
        <f t="shared" si="1"/>
        <v>23502</v>
      </c>
      <c r="F21" s="3">
        <f t="shared" si="0"/>
        <v>156766.25279228634</v>
      </c>
    </row>
    <row r="22" spans="1:6" x14ac:dyDescent="0.6">
      <c r="A22" s="2" t="s">
        <v>20</v>
      </c>
      <c r="B22" s="1">
        <v>74958735</v>
      </c>
      <c r="C22" s="3">
        <v>7690</v>
      </c>
      <c r="D22" s="3">
        <v>5721</v>
      </c>
      <c r="E22" s="3">
        <f t="shared" si="1"/>
        <v>28485</v>
      </c>
      <c r="F22" s="3">
        <f t="shared" si="0"/>
        <v>190004.54049818212</v>
      </c>
    </row>
    <row r="23" spans="1:6" x14ac:dyDescent="0.6">
      <c r="A23" s="2" t="s">
        <v>21</v>
      </c>
      <c r="B23" s="1">
        <v>74958735</v>
      </c>
      <c r="C23" s="3">
        <v>8485</v>
      </c>
      <c r="D23" s="3">
        <v>8199</v>
      </c>
      <c r="E23" s="3">
        <f t="shared" si="1"/>
        <v>30392</v>
      </c>
      <c r="F23" s="3">
        <f t="shared" si="0"/>
        <v>202724.87255821485</v>
      </c>
    </row>
    <row r="24" spans="1:6" x14ac:dyDescent="0.6">
      <c r="A24" s="2"/>
      <c r="B24" s="1"/>
      <c r="C24" s="3"/>
      <c r="D24" s="3"/>
      <c r="E24" s="3"/>
      <c r="F24" s="3"/>
    </row>
    <row r="25" spans="1:6" x14ac:dyDescent="0.6">
      <c r="B25" s="1"/>
    </row>
    <row r="26" spans="1:6" x14ac:dyDescent="0.6">
      <c r="B26" s="1"/>
    </row>
    <row r="27" spans="1:6" x14ac:dyDescent="0.6">
      <c r="B27" s="1"/>
      <c r="C27" s="1"/>
      <c r="D2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2025-01-31T15:21:03Z</dcterms:created>
  <dcterms:modified xsi:type="dcterms:W3CDTF">2026-01-12T00:46:35Z</dcterms:modified>
</cp:coreProperties>
</file>