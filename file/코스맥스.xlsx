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F094486-15A1-45EB-875E-7C6A1D24E614}" xr6:coauthVersionLast="47" xr6:coauthVersionMax="47" xr10:uidLastSave="{00000000-0000-0000-0000-000000000000}"/>
  <bookViews>
    <workbookView xWindow="10605" yWindow="675" windowWidth="15878" windowHeight="13455" xr2:uid="{3B404238-6CFC-4173-9FBB-C15716A9B1DE}"/>
  </bookViews>
  <sheets>
    <sheet name="코스맥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F6" i="1" s="1"/>
  <c r="E7" i="1"/>
  <c r="E8" i="1"/>
  <c r="E9" i="1"/>
  <c r="E10" i="1"/>
  <c r="E11" i="1"/>
  <c r="E12" i="1"/>
  <c r="E13" i="1"/>
  <c r="F13" i="1" s="1"/>
  <c r="E14" i="1"/>
  <c r="E15" i="1"/>
  <c r="E16" i="1"/>
  <c r="E17" i="1"/>
  <c r="E18" i="1"/>
  <c r="E19" i="1"/>
  <c r="E20" i="1"/>
  <c r="F20" i="1" s="1"/>
  <c r="E21" i="1"/>
  <c r="F21" i="1" s="1"/>
  <c r="E22" i="1"/>
  <c r="F22" i="1" s="1"/>
  <c r="E23" i="1"/>
  <c r="F23" i="1" s="1"/>
  <c r="E24" i="1"/>
  <c r="F24" i="1" s="1"/>
  <c r="F9" i="1"/>
  <c r="F11" i="1"/>
  <c r="F12" i="1"/>
  <c r="F14" i="1"/>
  <c r="F15" i="1"/>
  <c r="F16" i="1"/>
  <c r="F17" i="1"/>
  <c r="F8" i="1"/>
  <c r="F18" i="1"/>
  <c r="F19" i="1"/>
  <c r="E3" i="1"/>
  <c r="E2" i="1"/>
  <c r="F2" i="1" s="1"/>
  <c r="F10" i="1"/>
  <c r="F7" i="1"/>
  <c r="F5" i="1"/>
  <c r="F4" i="1"/>
  <c r="F3" i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<sst xmlns="http://schemas.openxmlformats.org/spreadsheetml/2006/main" count="29" uniqueCount="29">
  <si>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</si>
  <si>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</si>
  <si>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</si>
  <si>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</si>
  <si>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</si>
  <si>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</si>
  <si>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</si>
  <si>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</si>
  <si>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</si>
  <si>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</si>
  <si>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</si>
  <si>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</si>
  <si>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</si>
  <si>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</si>
  <si>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</si>
  <si>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</si>
  <si>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</si>
  <si>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</si>
  <si>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</si>
  <si>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</si>
  <si>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</si>
  <si>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</si>
  <si>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</si>
  <si>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</si>
  <si>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</si>
  <si>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2026.2Q</t>
    <phoneticPr fontId="18" type="noConversion"/>
  </si>
  <si>
    <t>2026.1Q</t>
    <phoneticPr fontId="18" type="noConversion"/>
  </si>
  <si>
    <t>2025.4Q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</si>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</sst>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4"/>
  <sheetViews>
    <sheetView tabSelected="1" workbookViewId="0">
      <selection activeCell="F2" sqref="F2:F3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20</v>
      </c>
      <c r="C1" t="s">
        <v>1</v>
      </c>
      <c r="D1" t="s">
        <v>2</v>
      </c>
      <c r="E1" t="s">
        <v>21</v>
      </c>
      <c r="F1" t="s">
        <v>22</v>
      </c>
    </row>
    <row r="2" spans="1:6" ht="19.5" customHeight="1" x14ac:dyDescent="0.6">
      <c r="A2" t="s">
        <v>28</v>
      </c>
      <c r="B2" s="1">
        <v>11349509</v>
      </c>
      <c r="C2" s="3">
        <v>533</v>
      </c>
      <c r="D2" s="3">
        <v>306</v>
      </c>
      <c r="E2" s="4">
        <f>(C2*2+C3*2)</f>
        <v>2428</v>
      </c>
      <c r="F2" s="2">
        <f>E2*100000000/B2*10</f>
        <v>213929.9594370118</v>
      </c>
    </row>
    <row r="3" spans="1:6" ht="19.5" customHeight="1" x14ac:dyDescent="0.6">
      <c r="A3" t="s">
        <v>25</v>
      </c>
      <c r="B3" s="1">
        <v>11349509</v>
      </c>
      <c r="C3" s="3">
        <v>681</v>
      </c>
      <c r="D3" s="3">
        <v>400</v>
      </c>
      <c r="E3" s="4">
        <f>(C3*2+C2*2)</f>
        <v>2428</v>
      </c>
      <c r="F3" s="2">
        <f>E3*100000000/B3*10</f>
        <v>213929.9594370118</v>
      </c>
    </row>
    <row r="4" spans="1:6" ht="19.5" customHeight="1" x14ac:dyDescent="0.6">
      <c r="A4" t="s">
        <v>26</v>
      </c>
      <c r="B4" s="1">
        <v>11349509</v>
      </c>
      <c r="C4">
        <v>552</v>
      </c>
      <c r="D4">
        <v>279</v>
      </c>
      <c r="E4" s="2">
        <f t="shared" ref="E4:E24" si="0">(C4*2+C3*2)</f>
        <v>2466</v>
      </c>
      <c r="F4" s="2">
        <f t="shared" ref="F4:F24" si="1">E4*100000000/B4*10</f>
        <v>217278.12189937028</v>
      </c>
    </row>
    <row r="5" spans="1:6" x14ac:dyDescent="0.6">
      <c r="A5" t="s">
        <v>27</v>
      </c>
      <c r="B5" s="1">
        <v>11349509</v>
      </c>
      <c r="C5">
        <v>409</v>
      </c>
      <c r="D5">
        <v>850</v>
      </c>
      <c r="E5" s="2">
        <f t="shared" si="0"/>
        <v>1922</v>
      </c>
      <c r="F5" s="2">
        <f t="shared" si="1"/>
        <v>169346.5329645538</v>
      </c>
    </row>
    <row r="6" spans="1:6" x14ac:dyDescent="0.6">
      <c r="A6" t="s">
        <v>24</v>
      </c>
      <c r="B6" s="1">
        <v>11349509</v>
      </c>
      <c r="C6">
        <v>427</v>
      </c>
      <c r="D6">
        <v>90</v>
      </c>
      <c r="E6" s="2">
        <f t="shared" si="0"/>
        <v>1672</v>
      </c>
      <c r="F6" s="2">
        <f t="shared" si="1"/>
        <v>147319.14834377417</v>
      </c>
    </row>
    <row r="7" spans="1:6" x14ac:dyDescent="0.6">
      <c r="A7" t="s">
        <v>23</v>
      </c>
      <c r="B7" s="1">
        <v>11349509</v>
      </c>
      <c r="C7">
        <v>513</v>
      </c>
      <c r="D7">
        <v>106</v>
      </c>
      <c r="E7" s="2">
        <f t="shared" si="0"/>
        <v>1880</v>
      </c>
      <c r="F7" s="2">
        <f t="shared" si="1"/>
        <v>165645.93234826284</v>
      </c>
    </row>
    <row r="8" spans="1:6" x14ac:dyDescent="0.6">
      <c r="A8" t="s">
        <v>3</v>
      </c>
      <c r="B8" s="1">
        <v>11349509</v>
      </c>
      <c r="C8">
        <v>398</v>
      </c>
      <c r="D8">
        <v>129</v>
      </c>
      <c r="E8" s="2">
        <f t="shared" si="0"/>
        <v>1822</v>
      </c>
      <c r="F8" s="2">
        <f t="shared" si="1"/>
        <v>160535.57911624195</v>
      </c>
    </row>
    <row r="9" spans="1:6" x14ac:dyDescent="0.6">
      <c r="A9" t="s">
        <v>4</v>
      </c>
      <c r="B9" s="1">
        <v>11349509</v>
      </c>
      <c r="C9">
        <v>434</v>
      </c>
      <c r="D9">
        <v>206</v>
      </c>
      <c r="E9" s="2">
        <f t="shared" si="0"/>
        <v>1664</v>
      </c>
      <c r="F9" s="2">
        <f t="shared" si="1"/>
        <v>146614.27203590921</v>
      </c>
    </row>
    <row r="10" spans="1:6" x14ac:dyDescent="0.6">
      <c r="A10" t="s">
        <v>5</v>
      </c>
      <c r="B10" s="1">
        <v>11349509</v>
      </c>
      <c r="C10">
        <v>467</v>
      </c>
      <c r="D10">
        <v>353</v>
      </c>
      <c r="E10" s="2">
        <f t="shared" si="0"/>
        <v>1802</v>
      </c>
      <c r="F10" s="2">
        <f t="shared" si="1"/>
        <v>158773.38834657957</v>
      </c>
    </row>
    <row r="11" spans="1:6" x14ac:dyDescent="0.6">
      <c r="A11" t="s">
        <v>6</v>
      </c>
      <c r="B11" s="1">
        <v>11349509</v>
      </c>
      <c r="C11">
        <v>455</v>
      </c>
      <c r="D11">
        <v>196</v>
      </c>
      <c r="E11" s="2">
        <f t="shared" si="0"/>
        <v>1844</v>
      </c>
      <c r="F11" s="2">
        <f t="shared" si="1"/>
        <v>162473.98896287056</v>
      </c>
    </row>
    <row r="12" spans="1:6" x14ac:dyDescent="0.6">
      <c r="A12" t="s">
        <v>7</v>
      </c>
      <c r="B12" s="1">
        <v>11349509</v>
      </c>
      <c r="C12">
        <v>225</v>
      </c>
      <c r="D12">
        <v>-12</v>
      </c>
      <c r="E12" s="2">
        <f t="shared" si="0"/>
        <v>1360</v>
      </c>
      <c r="F12" s="2">
        <f t="shared" si="1"/>
        <v>119828.9723370412</v>
      </c>
    </row>
    <row r="13" spans="1:6" x14ac:dyDescent="0.6">
      <c r="A13" t="s">
        <v>8</v>
      </c>
      <c r="B13" s="1">
        <v>11349509</v>
      </c>
      <c r="C13">
        <v>333</v>
      </c>
      <c r="D13">
        <v>109</v>
      </c>
      <c r="E13" s="2">
        <f t="shared" si="0"/>
        <v>1116</v>
      </c>
      <c r="F13" s="2">
        <f t="shared" si="1"/>
        <v>98330.244947160259</v>
      </c>
    </row>
    <row r="14" spans="1:6" x14ac:dyDescent="0.6">
      <c r="A14" t="s">
        <v>9</v>
      </c>
      <c r="B14" s="1">
        <v>11349509</v>
      </c>
      <c r="C14">
        <v>460</v>
      </c>
      <c r="D14">
        <v>274</v>
      </c>
      <c r="E14" s="2">
        <f t="shared" si="0"/>
        <v>1586</v>
      </c>
      <c r="F14" s="2">
        <f t="shared" si="1"/>
        <v>139741.72803422599</v>
      </c>
    </row>
    <row r="15" spans="1:6" x14ac:dyDescent="0.6">
      <c r="A15" t="s">
        <v>10</v>
      </c>
      <c r="B15" s="1">
        <v>11349509</v>
      </c>
      <c r="C15">
        <v>138</v>
      </c>
      <c r="D15">
        <v>7</v>
      </c>
      <c r="E15" s="2">
        <f t="shared" si="0"/>
        <v>1196</v>
      </c>
      <c r="F15" s="2">
        <f t="shared" si="1"/>
        <v>105379.00802580974</v>
      </c>
    </row>
    <row r="16" spans="1:6" x14ac:dyDescent="0.6">
      <c r="A16" t="s">
        <v>11</v>
      </c>
      <c r="B16" s="1">
        <v>11349509</v>
      </c>
      <c r="C16">
        <v>24</v>
      </c>
      <c r="D16">
        <v>-387</v>
      </c>
      <c r="E16" s="2">
        <f t="shared" si="0"/>
        <v>324</v>
      </c>
      <c r="F16" s="2">
        <f t="shared" si="1"/>
        <v>28547.490468530399</v>
      </c>
    </row>
    <row r="17" spans="1:6" x14ac:dyDescent="0.6">
      <c r="A17" t="s">
        <v>12</v>
      </c>
      <c r="B17" s="1">
        <v>11349509</v>
      </c>
      <c r="C17">
        <v>197</v>
      </c>
      <c r="D17">
        <v>67</v>
      </c>
      <c r="E17" s="2">
        <f t="shared" si="0"/>
        <v>442</v>
      </c>
      <c r="F17" s="2">
        <f t="shared" si="1"/>
        <v>38944.416009538385</v>
      </c>
    </row>
    <row r="18" spans="1:6" x14ac:dyDescent="0.6">
      <c r="A18" t="s">
        <v>13</v>
      </c>
      <c r="B18" s="1">
        <v>11349509</v>
      </c>
      <c r="C18">
        <v>172</v>
      </c>
      <c r="D18">
        <v>53</v>
      </c>
      <c r="E18" s="2">
        <f t="shared" si="0"/>
        <v>738</v>
      </c>
      <c r="F18" s="2">
        <f t="shared" si="1"/>
        <v>65024.839400541467</v>
      </c>
    </row>
    <row r="19" spans="1:6" x14ac:dyDescent="0.6">
      <c r="A19" t="s">
        <v>14</v>
      </c>
      <c r="B19" s="1">
        <v>11349509</v>
      </c>
      <c r="C19">
        <v>137</v>
      </c>
      <c r="D19">
        <v>102</v>
      </c>
      <c r="E19" s="2">
        <f t="shared" si="0"/>
        <v>618</v>
      </c>
      <c r="F19" s="2">
        <f t="shared" si="1"/>
        <v>54451.694782567247</v>
      </c>
    </row>
    <row r="20" spans="1:6" x14ac:dyDescent="0.6">
      <c r="A20" t="s">
        <v>15</v>
      </c>
      <c r="B20" s="1">
        <v>11349509</v>
      </c>
      <c r="C20">
        <v>304</v>
      </c>
      <c r="D20">
        <v>2</v>
      </c>
      <c r="E20" s="2">
        <f t="shared" si="0"/>
        <v>882</v>
      </c>
      <c r="F20" s="2">
        <f t="shared" si="1"/>
        <v>77712.612942110543</v>
      </c>
    </row>
    <row r="21" spans="1:6" x14ac:dyDescent="0.6">
      <c r="A21" t="s">
        <v>16</v>
      </c>
      <c r="B21" s="1">
        <v>11349509</v>
      </c>
      <c r="C21">
        <v>250</v>
      </c>
      <c r="D21">
        <v>-18</v>
      </c>
      <c r="E21" s="2">
        <f t="shared" si="0"/>
        <v>1108</v>
      </c>
      <c r="F21" s="2">
        <f t="shared" si="1"/>
        <v>97625.368639295324</v>
      </c>
    </row>
    <row r="22" spans="1:6" x14ac:dyDescent="0.6">
      <c r="A22" t="s">
        <v>17</v>
      </c>
      <c r="B22" s="1">
        <v>11349509</v>
      </c>
      <c r="C22">
        <v>439</v>
      </c>
      <c r="D22">
        <v>261</v>
      </c>
      <c r="E22" s="2">
        <f t="shared" si="0"/>
        <v>1378</v>
      </c>
      <c r="F22" s="2">
        <f t="shared" si="1"/>
        <v>121414.94402973732</v>
      </c>
    </row>
    <row r="23" spans="1:6" x14ac:dyDescent="0.6">
      <c r="A23" t="s">
        <v>18</v>
      </c>
      <c r="B23" s="1">
        <v>11349509</v>
      </c>
      <c r="C23">
        <v>233</v>
      </c>
      <c r="D23">
        <v>98</v>
      </c>
      <c r="E23" s="2">
        <f t="shared" si="0"/>
        <v>1344</v>
      </c>
      <c r="F23" s="2">
        <f t="shared" si="1"/>
        <v>118419.2197213113</v>
      </c>
    </row>
    <row r="24" spans="1:6" x14ac:dyDescent="0.6">
      <c r="A24" t="s">
        <v>19</v>
      </c>
      <c r="B24" s="1">
        <v>11349509</v>
      </c>
      <c r="C24">
        <v>233</v>
      </c>
      <c r="D24">
        <v>98</v>
      </c>
      <c r="E24" s="2">
        <f t="shared" si="0"/>
        <v>932</v>
      </c>
      <c r="F24" s="2">
        <f t="shared" si="1"/>
        <v>82118.089866266455</v>
      </c>
    </row>
  </sheetData>
  <phoneticPr fontId="18" type="noConversion"/>
  <conditionalFormatting sqref="F2:F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코스맥스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2026-05-11T14:24:32Z</dcterms:modified>
</cp:coreProperties>
</file>