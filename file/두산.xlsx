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081C8712-5BFA-4B4C-B743-4F0E35E4D411}" xr6:coauthVersionLast="47" xr6:coauthVersionMax="47" xr10:uidLastSave="{00000000-0000-0000-0000-000000000000}"/>
  <bookViews>
    <workbookView xWindow="6670" yWindow="2210" windowWidth="28450" windowHeight="18910" xr2:uid="{3B404238-6CFC-4173-9FBB-C15716A9B1DE}"/>
  </bookViews>
  <sheets>
    <sheet name="두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0" i="1"/>
  <c r="E19" i="1"/>
  <c r="E18" i="1"/>
  <c r="E17" i="1"/>
  <c r="E16" i="1"/>
  <c r="F16" i="1" s="1"/>
  <c r="E15" i="1"/>
  <c r="F15" i="1" s="1"/>
  <c r="E14" i="1"/>
  <c r="F14" i="1" s="1"/>
  <c r="E13" i="1"/>
  <c r="F13" i="1" s="1"/>
  <c r="E12" i="1"/>
  <c r="E11" i="1"/>
  <c r="E10" i="1"/>
  <c r="F10" i="1" s="1"/>
  <c r="E9" i="1"/>
  <c r="F9" i="1" s="1"/>
  <c r="E8" i="1"/>
  <c r="E7" i="1"/>
  <c r="E6" i="1"/>
  <c r="F6" i="1" s="1"/>
  <c r="E5" i="1"/>
  <c r="E4" i="1"/>
  <c r="F4" i="1" s="1"/>
  <c r="E3" i="1"/>
  <c r="F3" i="1" s="1"/>
  <c r="E2" i="1"/>
  <c r="F8" i="1"/>
  <c r="F11" i="1"/>
  <c r="F12" i="1"/>
  <c r="F19" i="1"/>
  <c r="F20" i="1"/>
  <c r="F5" i="1"/>
  <c r="F7" i="1"/>
  <c r="F17" i="1"/>
  <c r="F18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<sst xmlns="http://schemas.openxmlformats.org/spreadsheetml/2006/main" count="28" uniqueCount="28">
  <si>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</si>
  <si>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</si>
  <si>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</si>
  <si>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</si>
  <si>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</si>
  <si>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</si>
  <si>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</si>
  <si>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</si>
  <si>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</si>
  <si>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</si>
  <si>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</si>
  <si>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</si>
  <si>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</si>
  <si>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</si>
  <si>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</si>
  <si>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</si>
  <si>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</si>
  <si>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</si>
  <si>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</si>
  <si>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</si>
  <si>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</si>
  <si>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</si>
  <si>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상장주식수</t>
    <phoneticPr fontId="18" type="noConversion"/>
  </si>
  <si>
    <t>4Q_income</t>
  </si>
  <si>
    <t>목표가</t>
  </si>
  <si>
    <t>2025.2Q</t>
    <phoneticPr fontId="18" type="noConversion"/>
  </si>
  <si>
    <t>2025.3Q</t>
    <phoneticPr fontId="18" type="noConversion"/>
  </si>
  <si>
    <t>2025.4Q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</si>
</sst>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9DB3-CE1B-42E2-AF4F-5D821B36F3D2}">
  <dimension ref="A1:F25"/>
  <sheetViews>
    <sheetView tabSelected="1" workbookViewId="0">
      <selection activeCell="J3" sqref="J3"/>
    </sheetView>
  </sheetViews>
  <sheetFormatPr defaultRowHeight="17" x14ac:dyDescent="0.45"/>
  <cols>
    <col min="2" max="2" width="10.25" bestFit="1" customWidth="1"/>
    <col min="6" max="6" width="10.58203125" bestFit="1" customWidth="1"/>
  </cols>
  <sheetData>
    <row r="1" spans="1:6" x14ac:dyDescent="0.45">
      <c r="A1" t="s">
        <v>0</v>
      </c>
      <c r="B1" t="s">
        <v>22</v>
      </c>
      <c r="C1" t="s">
        <v>1</v>
      </c>
      <c r="D1" t="s">
        <v>2</v>
      </c>
      <c r="E1" t="s">
        <v>23</v>
      </c>
      <c r="F1" t="s">
        <v>24</v>
      </c>
    </row>
    <row r="2" spans="1:6" x14ac:dyDescent="0.45">
      <c r="A2" t="s">
        <v>27</v>
      </c>
      <c r="B2" s="2">
        <v>16523835</v>
      </c>
      <c r="C2" s="2">
        <v>5093</v>
      </c>
      <c r="D2" s="2">
        <v>1499</v>
      </c>
      <c r="E2">
        <f>(C2*2+C3*2)</f>
        <v>17758</v>
      </c>
      <c r="F2" s="3">
        <f>E2*100000000/B2*10</f>
        <v>1074689.9857085235</v>
      </c>
    </row>
    <row r="3" spans="1:6" x14ac:dyDescent="0.45">
      <c r="A3" t="s">
        <v>26</v>
      </c>
      <c r="B3" s="2">
        <v>16523835</v>
      </c>
      <c r="C3" s="2">
        <v>3786</v>
      </c>
      <c r="D3" s="2">
        <v>1362</v>
      </c>
      <c r="E3">
        <f>(C2*2+C3*2)</f>
        <v>17758</v>
      </c>
      <c r="F3" s="3">
        <f>E3*100000000/B3*13</f>
        <v>1397096.9814210804</v>
      </c>
    </row>
    <row r="4" spans="1:6" x14ac:dyDescent="0.45">
      <c r="A4" t="s">
        <v>25</v>
      </c>
      <c r="B4" s="2">
        <v>16523835</v>
      </c>
      <c r="C4" s="2">
        <v>4737</v>
      </c>
      <c r="D4" s="2">
        <v>1416</v>
      </c>
      <c r="E4" s="2">
        <f>(C2+C3+C4*2)</f>
        <v>18353</v>
      </c>
      <c r="F4" s="3">
        <f t="shared" ref="F4:F20" si="0">E4*100000000/B4*13</f>
        <v>1443908.1484413273</v>
      </c>
    </row>
    <row r="5" spans="1:6" x14ac:dyDescent="0.45">
      <c r="A5" t="s">
        <v>3</v>
      </c>
      <c r="B5" s="2">
        <v>16523835</v>
      </c>
      <c r="C5" s="2">
        <v>1985</v>
      </c>
      <c r="D5" s="2">
        <v>236</v>
      </c>
      <c r="E5" s="2">
        <f t="shared" ref="E5:E20" si="1">(C3+C4+C5*2)</f>
        <v>12493</v>
      </c>
      <c r="F5" s="3">
        <f t="shared" si="0"/>
        <v>982877.15896461078</v>
      </c>
    </row>
    <row r="6" spans="1:6" x14ac:dyDescent="0.45">
      <c r="A6" t="s">
        <v>4</v>
      </c>
      <c r="B6" s="2">
        <v>16523835</v>
      </c>
      <c r="C6" s="2">
        <v>2089</v>
      </c>
      <c r="D6" s="2">
        <v>-451</v>
      </c>
      <c r="E6" s="2">
        <f t="shared" si="1"/>
        <v>10900</v>
      </c>
      <c r="F6" s="3">
        <f t="shared" si="0"/>
        <v>857549.11011880718</v>
      </c>
    </row>
    <row r="7" spans="1:6" x14ac:dyDescent="0.45">
      <c r="A7" t="s">
        <v>5</v>
      </c>
      <c r="B7" s="2">
        <v>16523835</v>
      </c>
      <c r="C7" s="2">
        <v>1102</v>
      </c>
      <c r="D7" s="2">
        <v>-949</v>
      </c>
      <c r="E7" s="2">
        <f t="shared" si="1"/>
        <v>6278</v>
      </c>
      <c r="F7" s="3">
        <f t="shared" si="0"/>
        <v>493916.81773631851</v>
      </c>
    </row>
    <row r="8" spans="1:6" x14ac:dyDescent="0.45">
      <c r="A8" t="s">
        <v>6</v>
      </c>
      <c r="B8" s="2">
        <v>16523835</v>
      </c>
      <c r="C8" s="2">
        <v>3367</v>
      </c>
      <c r="D8" s="2">
        <v>2163</v>
      </c>
      <c r="E8" s="2">
        <f t="shared" si="1"/>
        <v>9925</v>
      </c>
      <c r="F8" s="3">
        <f t="shared" si="0"/>
        <v>780841.73558983137</v>
      </c>
    </row>
    <row r="9" spans="1:6" x14ac:dyDescent="0.45">
      <c r="A9" t="s">
        <v>7</v>
      </c>
      <c r="B9" s="2">
        <v>16523835</v>
      </c>
      <c r="C9" s="2">
        <v>3479</v>
      </c>
      <c r="D9" s="2">
        <v>2259</v>
      </c>
      <c r="E9" s="2">
        <f t="shared" si="1"/>
        <v>11427</v>
      </c>
      <c r="F9" s="3">
        <f t="shared" si="0"/>
        <v>899010.42947959714</v>
      </c>
    </row>
    <row r="10" spans="1:6" x14ac:dyDescent="0.45">
      <c r="A10" t="s">
        <v>8</v>
      </c>
      <c r="B10" s="2">
        <v>16523835</v>
      </c>
      <c r="C10" s="2">
        <v>2663</v>
      </c>
      <c r="D10" s="2">
        <v>-1212</v>
      </c>
      <c r="E10" s="2">
        <f t="shared" si="1"/>
        <v>12172</v>
      </c>
      <c r="F10" s="3">
        <f t="shared" si="0"/>
        <v>957622.73104276333</v>
      </c>
    </row>
    <row r="11" spans="1:6" x14ac:dyDescent="0.45">
      <c r="A11" t="s">
        <v>9</v>
      </c>
      <c r="B11" s="2">
        <v>16523835</v>
      </c>
      <c r="C11" s="2">
        <v>3197</v>
      </c>
      <c r="D11" s="2">
        <v>1044</v>
      </c>
      <c r="E11" s="2">
        <f t="shared" si="1"/>
        <v>12536</v>
      </c>
      <c r="F11" s="3">
        <f t="shared" si="0"/>
        <v>986260.15086691431</v>
      </c>
    </row>
    <row r="12" spans="1:6" x14ac:dyDescent="0.45">
      <c r="A12" t="s">
        <v>10</v>
      </c>
      <c r="B12" s="2">
        <v>16523835</v>
      </c>
      <c r="C12" s="2">
        <v>5120</v>
      </c>
      <c r="D12" s="2">
        <v>1742</v>
      </c>
      <c r="E12" s="2">
        <f t="shared" si="1"/>
        <v>16100</v>
      </c>
      <c r="F12" s="3">
        <f t="shared" si="0"/>
        <v>1266655.1076066785</v>
      </c>
    </row>
    <row r="13" spans="1:6" x14ac:dyDescent="0.45">
      <c r="A13" t="s">
        <v>11</v>
      </c>
      <c r="B13" s="2">
        <v>16523835</v>
      </c>
      <c r="C13" s="2">
        <v>3382</v>
      </c>
      <c r="D13" s="2">
        <v>1147</v>
      </c>
      <c r="E13" s="2">
        <f t="shared" si="1"/>
        <v>15081</v>
      </c>
      <c r="F13" s="3">
        <f t="shared" si="0"/>
        <v>1186486.066945113</v>
      </c>
    </row>
    <row r="14" spans="1:6" x14ac:dyDescent="0.45">
      <c r="A14" t="s">
        <v>12</v>
      </c>
      <c r="B14" s="2">
        <v>16523835</v>
      </c>
      <c r="C14" s="2">
        <v>2310</v>
      </c>
      <c r="D14" s="2">
        <v>-5448</v>
      </c>
      <c r="E14" s="2">
        <f t="shared" si="1"/>
        <v>13122</v>
      </c>
      <c r="F14" s="3">
        <f t="shared" si="0"/>
        <v>1032363.249814586</v>
      </c>
    </row>
    <row r="15" spans="1:6" x14ac:dyDescent="0.45">
      <c r="A15" t="s">
        <v>13</v>
      </c>
      <c r="B15" s="2">
        <v>16523835</v>
      </c>
      <c r="C15" s="2">
        <v>3406</v>
      </c>
      <c r="D15" s="2">
        <v>838</v>
      </c>
      <c r="E15" s="2">
        <f t="shared" si="1"/>
        <v>12504</v>
      </c>
      <c r="F15" s="3">
        <f t="shared" si="0"/>
        <v>983742.57549775823</v>
      </c>
    </row>
    <row r="16" spans="1:6" x14ac:dyDescent="0.45">
      <c r="A16" t="s">
        <v>14</v>
      </c>
      <c r="B16" s="2">
        <v>16523835</v>
      </c>
      <c r="C16" s="2">
        <v>3666</v>
      </c>
      <c r="D16" s="2">
        <v>-1349</v>
      </c>
      <c r="E16" s="2">
        <f t="shared" si="1"/>
        <v>13048</v>
      </c>
      <c r="F16" s="3">
        <f t="shared" si="0"/>
        <v>1026541.3567734126</v>
      </c>
    </row>
    <row r="17" spans="1:6" x14ac:dyDescent="0.45">
      <c r="A17" t="s">
        <v>15</v>
      </c>
      <c r="B17" s="2">
        <v>16523835</v>
      </c>
      <c r="C17" s="2">
        <v>1878</v>
      </c>
      <c r="D17" s="2">
        <v>148</v>
      </c>
      <c r="E17" s="2">
        <f t="shared" si="1"/>
        <v>10828</v>
      </c>
      <c r="F17" s="3">
        <f t="shared" si="0"/>
        <v>851884.5655382059</v>
      </c>
    </row>
    <row r="18" spans="1:6" x14ac:dyDescent="0.45">
      <c r="A18" t="s">
        <v>16</v>
      </c>
      <c r="B18" s="2">
        <v>16523835</v>
      </c>
      <c r="C18" s="2">
        <v>891</v>
      </c>
      <c r="D18">
        <v>482</v>
      </c>
      <c r="E18" s="2">
        <f t="shared" si="1"/>
        <v>7326</v>
      </c>
      <c r="F18" s="3">
        <f t="shared" si="0"/>
        <v>576367.4110761818</v>
      </c>
    </row>
    <row r="19" spans="1:6" x14ac:dyDescent="0.45">
      <c r="A19" t="s">
        <v>17</v>
      </c>
      <c r="B19" s="2">
        <v>16523835</v>
      </c>
      <c r="C19" s="2">
        <v>2595</v>
      </c>
      <c r="D19" s="2">
        <v>-18</v>
      </c>
      <c r="E19" s="2">
        <f t="shared" si="1"/>
        <v>7959</v>
      </c>
      <c r="F19" s="3">
        <f t="shared" si="0"/>
        <v>626168.19884730154</v>
      </c>
    </row>
    <row r="20" spans="1:6" x14ac:dyDescent="0.45">
      <c r="A20" t="s">
        <v>18</v>
      </c>
      <c r="B20" s="2">
        <v>16523835</v>
      </c>
      <c r="C20" s="2">
        <v>1745</v>
      </c>
      <c r="D20" s="2">
        <v>2001</v>
      </c>
      <c r="E20" s="2">
        <f t="shared" si="1"/>
        <v>6976</v>
      </c>
      <c r="F20" s="3">
        <f t="shared" si="0"/>
        <v>548831.43047603662</v>
      </c>
    </row>
    <row r="21" spans="1:6" x14ac:dyDescent="0.45">
      <c r="A21" t="s">
        <v>19</v>
      </c>
      <c r="B21" s="2">
        <v>16523835</v>
      </c>
      <c r="C21" s="2">
        <v>3980</v>
      </c>
      <c r="D21" s="2">
        <v>4023</v>
      </c>
      <c r="E21" s="2"/>
      <c r="F21" s="1"/>
    </row>
    <row r="22" spans="1:6" x14ac:dyDescent="0.45">
      <c r="A22" t="s">
        <v>20</v>
      </c>
      <c r="B22" s="2">
        <v>16523835</v>
      </c>
      <c r="C22" s="2">
        <v>-3367</v>
      </c>
      <c r="D22" s="2">
        <v>-3110</v>
      </c>
      <c r="E22" s="2"/>
      <c r="F22" s="1"/>
    </row>
    <row r="23" spans="1:6" x14ac:dyDescent="0.45">
      <c r="A23" t="s">
        <v>21</v>
      </c>
      <c r="B23" s="2">
        <v>16523835</v>
      </c>
      <c r="C23" s="2">
        <v>2176</v>
      </c>
      <c r="D23" s="2">
        <v>-359</v>
      </c>
      <c r="E23" s="2"/>
      <c r="F23" s="1"/>
    </row>
    <row r="24" spans="1:6" x14ac:dyDescent="0.45">
      <c r="B24" s="2"/>
      <c r="F24" s="1"/>
    </row>
    <row r="25" spans="1:6" x14ac:dyDescent="0.45">
      <c r="B25" s="2"/>
      <c r="F25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두산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2025-01-28T10:20:59Z</dcterms:created>
  <dcterms:modified xsi:type="dcterms:W3CDTF">2025-08-21T23:41:29Z</dcterms:modified>
</cp:coreProperties>
</file>