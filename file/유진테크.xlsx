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DE9D463F-D9B2-4DC2-AEF9-5309C6326F2A}" xr6:coauthVersionLast="47" xr6:coauthVersionMax="47" xr10:uidLastSave="{00000000-0000-0000-0000-000000000000}"/>
  <bookViews>
    <workbookView xWindow="28702" yWindow="-98" windowWidth="28995" windowHeight="16395" xr2:uid="{DA083A8F-9A99-4A58-981A-1E6F0C42539A}"/>
  </bookViews>
  <sheets>
    <sheet name="유진테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E3" i="1"/>
  <c r="E2" i="1"/>
  <c r="F2" i="1" s="1"/>
  <c r="F5" i="1"/>
  <c r="F6" i="1"/>
  <c r="F13" i="1"/>
  <c r="F14" i="1"/>
  <c r="F15" i="1"/>
  <c r="F4" i="1"/>
  <c r="F3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<sst xmlns="http://schemas.openxmlformats.org/spreadsheetml/2006/main" count="34" uniqueCount="34">
  <si>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</si>
  <si>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</si>
  <si>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</si>
  <si>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</si>
  <si>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</si>
  <si>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</si>
  <si>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</si>
  <si>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</si>
  <si>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</si>
  <si>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</si>
  <si>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</si>
  <si>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</si>
  <si>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</si>
  <si>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</si>
  <si>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</si>
  <si>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</si>
  <si>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</si>
  <si>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</si>
  <si>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</si>
  <si>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</si>
  <si>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</si>
  <si>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</si>
  <si>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4Q_income</t>
  </si>
  <si>
    <t>목표가</t>
  </si>
  <si>
    <t>2025.2Q</t>
    <phoneticPr fontId="18" type="noConversion"/>
  </si>
  <si>
    <t>상장주식수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</si>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</sst>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3" tint="0.499984740745262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19" fillId="0" borderId="0" xfId="0" applyFont="1">
      <alignment vertical="center"/>
    </xf>
    <xf numFmtId="0" fontId="14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9"/>
  <sheetViews>
    <sheetView tabSelected="1" workbookViewId="0">
      <selection activeCell="F2" sqref="F2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25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33</v>
      </c>
      <c r="B2" s="1">
        <v>22916042</v>
      </c>
      <c r="C2" s="4">
        <v>363</v>
      </c>
      <c r="D2" s="4">
        <v>304</v>
      </c>
      <c r="E2" s="2">
        <f>(D2*3+D3*1)</f>
        <v>1160</v>
      </c>
      <c r="F2" s="2">
        <f>E2*100000000/B2*30</f>
        <v>151858.68484618765</v>
      </c>
    </row>
    <row r="3" spans="1:6" x14ac:dyDescent="0.6">
      <c r="A3" t="s">
        <v>32</v>
      </c>
      <c r="B3" s="1">
        <v>22916042</v>
      </c>
      <c r="C3" s="4">
        <v>290</v>
      </c>
      <c r="D3" s="4">
        <v>248</v>
      </c>
      <c r="E3" s="2">
        <f>(D3*2+D4+D2)</f>
        <v>1452.5</v>
      </c>
      <c r="F3" s="2">
        <f t="shared" ref="F3:F27" si="0">E3*100000000/B3*30</f>
        <v>190150.63770610996</v>
      </c>
    </row>
    <row r="4" spans="1:6" x14ac:dyDescent="0.6">
      <c r="A4" t="s">
        <v>31</v>
      </c>
      <c r="B4" s="1">
        <v>22916042</v>
      </c>
      <c r="C4" s="3">
        <v>182.2</v>
      </c>
      <c r="D4" s="3">
        <v>652.5</v>
      </c>
      <c r="E4" s="2">
        <f t="shared" ref="E4:E28" si="1">(D4*2+D5+D3)</f>
        <v>1770</v>
      </c>
      <c r="F4" s="2">
        <f t="shared" si="0"/>
        <v>231715.40704978633</v>
      </c>
    </row>
    <row r="5" spans="1:6" x14ac:dyDescent="0.6">
      <c r="A5" t="s">
        <v>30</v>
      </c>
      <c r="B5" s="1">
        <v>22916042</v>
      </c>
      <c r="C5" s="3">
        <v>188</v>
      </c>
      <c r="D5" s="3">
        <v>217</v>
      </c>
      <c r="E5" s="2">
        <f t="shared" si="1"/>
        <v>1250.5</v>
      </c>
      <c r="F5" s="2">
        <f t="shared" si="0"/>
        <v>163706.28051737728</v>
      </c>
    </row>
    <row r="6" spans="1:6" x14ac:dyDescent="0.6">
      <c r="A6" t="s">
        <v>29</v>
      </c>
      <c r="B6" s="1">
        <v>22916042</v>
      </c>
      <c r="C6" s="3">
        <v>175</v>
      </c>
      <c r="D6" s="3">
        <v>164</v>
      </c>
      <c r="E6" s="2">
        <f t="shared" si="1"/>
        <v>623</v>
      </c>
      <c r="F6" s="2">
        <f t="shared" si="0"/>
        <v>81558.58677515079</v>
      </c>
    </row>
    <row r="7" spans="1:6" x14ac:dyDescent="0.6">
      <c r="A7" t="s">
        <v>28</v>
      </c>
      <c r="B7" s="1">
        <v>22916042</v>
      </c>
      <c r="C7">
        <v>51</v>
      </c>
      <c r="D7">
        <v>78</v>
      </c>
      <c r="E7" s="2">
        <f t="shared" si="1"/>
        <v>426</v>
      </c>
      <c r="F7" s="2">
        <f t="shared" si="0"/>
        <v>55768.792883168913</v>
      </c>
    </row>
    <row r="8" spans="1:6" x14ac:dyDescent="0.6">
      <c r="A8" t="s">
        <v>24</v>
      </c>
      <c r="B8" s="1">
        <v>22916042</v>
      </c>
      <c r="C8">
        <v>197</v>
      </c>
      <c r="D8">
        <v>106</v>
      </c>
      <c r="E8" s="2">
        <f t="shared" si="1"/>
        <v>365</v>
      </c>
      <c r="F8" s="2">
        <f t="shared" si="0"/>
        <v>47783.120662809051</v>
      </c>
    </row>
    <row r="9" spans="1:6" x14ac:dyDescent="0.6">
      <c r="A9" t="s">
        <v>3</v>
      </c>
      <c r="B9" s="1">
        <v>22916042</v>
      </c>
      <c r="C9">
        <v>92</v>
      </c>
      <c r="D9">
        <v>75</v>
      </c>
      <c r="E9" s="2">
        <f t="shared" si="1"/>
        <v>608</v>
      </c>
      <c r="F9" s="2">
        <f t="shared" si="0"/>
        <v>79594.896884898364</v>
      </c>
    </row>
    <row r="10" spans="1:6" x14ac:dyDescent="0.6">
      <c r="A10" t="s">
        <v>4</v>
      </c>
      <c r="B10" s="1">
        <v>22916042</v>
      </c>
      <c r="C10">
        <v>316</v>
      </c>
      <c r="D10">
        <v>352</v>
      </c>
      <c r="E10" s="2">
        <f t="shared" si="1"/>
        <v>879</v>
      </c>
      <c r="F10" s="2">
        <f t="shared" si="0"/>
        <v>115072.22756879221</v>
      </c>
    </row>
    <row r="11" spans="1:6" x14ac:dyDescent="0.6">
      <c r="A11" t="s">
        <v>5</v>
      </c>
      <c r="B11" s="1">
        <v>22916042</v>
      </c>
      <c r="C11">
        <v>158</v>
      </c>
      <c r="D11">
        <v>100</v>
      </c>
      <c r="E11" s="2">
        <f t="shared" si="1"/>
        <v>675</v>
      </c>
      <c r="F11" s="2">
        <f t="shared" si="0"/>
        <v>88366.045061359197</v>
      </c>
    </row>
    <row r="12" spans="1:6" x14ac:dyDescent="0.6">
      <c r="A12" t="s">
        <v>6</v>
      </c>
      <c r="B12" s="1">
        <v>22916042</v>
      </c>
      <c r="C12">
        <v>99</v>
      </c>
      <c r="D12">
        <v>123</v>
      </c>
      <c r="E12" s="2">
        <f t="shared" si="1"/>
        <v>410</v>
      </c>
      <c r="F12" s="2">
        <f t="shared" si="0"/>
        <v>53674.19033356633</v>
      </c>
    </row>
    <row r="13" spans="1:6" x14ac:dyDescent="0.6">
      <c r="A13" t="s">
        <v>7</v>
      </c>
      <c r="B13" s="1">
        <v>22916042</v>
      </c>
      <c r="C13">
        <v>40</v>
      </c>
      <c r="D13">
        <v>64</v>
      </c>
      <c r="E13" s="2">
        <f t="shared" si="1"/>
        <v>297</v>
      </c>
      <c r="F13" s="2">
        <f t="shared" si="0"/>
        <v>38881.059826998047</v>
      </c>
    </row>
    <row r="14" spans="1:6" x14ac:dyDescent="0.6">
      <c r="A14" t="s">
        <v>8</v>
      </c>
      <c r="B14" s="1">
        <v>22916042</v>
      </c>
      <c r="C14">
        <v>53</v>
      </c>
      <c r="D14">
        <v>46</v>
      </c>
      <c r="E14" s="2">
        <f t="shared" si="1"/>
        <v>174</v>
      </c>
      <c r="F14" s="2">
        <f t="shared" si="0"/>
        <v>22778.802726928148</v>
      </c>
    </row>
    <row r="15" spans="1:6" x14ac:dyDescent="0.6">
      <c r="A15" t="s">
        <v>9</v>
      </c>
      <c r="B15" s="1">
        <v>22916042</v>
      </c>
      <c r="C15">
        <v>7</v>
      </c>
      <c r="D15">
        <v>18</v>
      </c>
      <c r="E15" s="2">
        <f t="shared" si="1"/>
        <v>164</v>
      </c>
      <c r="F15" s="2">
        <f t="shared" si="0"/>
        <v>21469.676133426532</v>
      </c>
    </row>
    <row r="16" spans="1:6" x14ac:dyDescent="0.6">
      <c r="A16" t="s">
        <v>10</v>
      </c>
      <c r="B16" s="1">
        <v>22916042</v>
      </c>
      <c r="C16">
        <v>85</v>
      </c>
      <c r="D16">
        <v>82</v>
      </c>
      <c r="E16" s="2">
        <f t="shared" si="1"/>
        <v>290</v>
      </c>
      <c r="F16" s="2">
        <f t="shared" si="0"/>
        <v>37964.671211546913</v>
      </c>
    </row>
    <row r="17" spans="1:6" x14ac:dyDescent="0.6">
      <c r="A17" t="s">
        <v>11</v>
      </c>
      <c r="B17" s="1">
        <v>22916042</v>
      </c>
      <c r="C17">
        <v>97</v>
      </c>
      <c r="D17">
        <v>108</v>
      </c>
      <c r="E17" s="2">
        <f t="shared" si="1"/>
        <v>283</v>
      </c>
      <c r="F17" s="2">
        <f t="shared" si="0"/>
        <v>37048.282596095785</v>
      </c>
    </row>
    <row r="18" spans="1:6" x14ac:dyDescent="0.6">
      <c r="A18" t="s">
        <v>12</v>
      </c>
      <c r="B18" s="1">
        <v>22916042</v>
      </c>
      <c r="C18">
        <v>15</v>
      </c>
      <c r="D18">
        <v>-15</v>
      </c>
      <c r="E18" s="2">
        <f t="shared" si="1"/>
        <v>190</v>
      </c>
      <c r="F18" s="2">
        <f t="shared" si="0"/>
        <v>24873.405276530735</v>
      </c>
    </row>
    <row r="19" spans="1:6" x14ac:dyDescent="0.6">
      <c r="A19" t="s">
        <v>13</v>
      </c>
      <c r="B19" s="1">
        <v>22916042</v>
      </c>
      <c r="C19">
        <v>136</v>
      </c>
      <c r="D19">
        <v>112</v>
      </c>
      <c r="E19" s="2">
        <f t="shared" si="1"/>
        <v>291</v>
      </c>
      <c r="F19" s="2">
        <f t="shared" si="0"/>
        <v>38095.583870897077</v>
      </c>
    </row>
    <row r="20" spans="1:6" x14ac:dyDescent="0.6">
      <c r="A20" t="s">
        <v>14</v>
      </c>
      <c r="B20" s="1">
        <v>22916042</v>
      </c>
      <c r="C20">
        <v>60</v>
      </c>
      <c r="D20">
        <v>82</v>
      </c>
      <c r="E20" s="2">
        <f t="shared" si="1"/>
        <v>523</v>
      </c>
      <c r="F20" s="2">
        <f t="shared" si="0"/>
        <v>68467.320840134606</v>
      </c>
    </row>
    <row r="21" spans="1:6" x14ac:dyDescent="0.6">
      <c r="A21" t="s">
        <v>15</v>
      </c>
      <c r="B21" s="1">
        <v>22916042</v>
      </c>
      <c r="C21">
        <v>325</v>
      </c>
      <c r="D21">
        <v>247</v>
      </c>
      <c r="E21" s="2">
        <f t="shared" si="1"/>
        <v>673</v>
      </c>
      <c r="F21" s="2">
        <f t="shared" si="0"/>
        <v>88104.219742658868</v>
      </c>
    </row>
    <row r="22" spans="1:6" x14ac:dyDescent="0.6">
      <c r="A22" t="s">
        <v>16</v>
      </c>
      <c r="B22" s="1">
        <v>22916042</v>
      </c>
      <c r="C22">
        <v>96</v>
      </c>
      <c r="D22">
        <v>97</v>
      </c>
      <c r="E22" s="2">
        <f t="shared" si="1"/>
        <v>672</v>
      </c>
      <c r="F22" s="2">
        <f t="shared" si="0"/>
        <v>87973.307083308711</v>
      </c>
    </row>
    <row r="23" spans="1:6" x14ac:dyDescent="0.6">
      <c r="A23" t="s">
        <v>17</v>
      </c>
      <c r="B23" s="1">
        <v>22916042</v>
      </c>
      <c r="C23">
        <v>273</v>
      </c>
      <c r="D23">
        <v>231</v>
      </c>
      <c r="E23" s="2">
        <f t="shared" si="1"/>
        <v>598</v>
      </c>
      <c r="F23" s="2">
        <f t="shared" si="0"/>
        <v>78285.770291396751</v>
      </c>
    </row>
    <row r="24" spans="1:6" x14ac:dyDescent="0.6">
      <c r="A24" t="s">
        <v>18</v>
      </c>
      <c r="B24" s="1">
        <v>22916042</v>
      </c>
      <c r="C24">
        <v>62</v>
      </c>
      <c r="D24">
        <v>39</v>
      </c>
      <c r="E24" s="2">
        <f t="shared" si="1"/>
        <v>574</v>
      </c>
      <c r="F24" s="2">
        <f t="shared" si="0"/>
        <v>75143.866466992855</v>
      </c>
    </row>
    <row r="25" spans="1:6" x14ac:dyDescent="0.6">
      <c r="A25" t="s">
        <v>19</v>
      </c>
      <c r="B25" s="1">
        <v>22916042</v>
      </c>
      <c r="C25">
        <v>308</v>
      </c>
      <c r="D25">
        <v>265</v>
      </c>
      <c r="E25" s="2">
        <f t="shared" si="1"/>
        <v>567</v>
      </c>
      <c r="F25" s="2">
        <f t="shared" si="0"/>
        <v>74227.477851541727</v>
      </c>
    </row>
    <row r="26" spans="1:6" x14ac:dyDescent="0.6">
      <c r="A26" t="s">
        <v>20</v>
      </c>
      <c r="B26" s="1">
        <v>22916042</v>
      </c>
      <c r="C26">
        <v>69</v>
      </c>
      <c r="D26">
        <v>-2</v>
      </c>
      <c r="E26" s="2">
        <f t="shared" si="1"/>
        <v>353</v>
      </c>
      <c r="F26" s="2">
        <f t="shared" si="0"/>
        <v>46212.168750607103</v>
      </c>
    </row>
    <row r="27" spans="1:6" x14ac:dyDescent="0.6">
      <c r="A27" t="s">
        <v>21</v>
      </c>
      <c r="B27" s="1">
        <v>22916042</v>
      </c>
      <c r="C27">
        <v>144</v>
      </c>
      <c r="D27">
        <v>92</v>
      </c>
      <c r="E27" s="2">
        <f t="shared" si="1"/>
        <v>169</v>
      </c>
      <c r="F27" s="2">
        <f t="shared" si="0"/>
        <v>22124.239430177342</v>
      </c>
    </row>
    <row r="28" spans="1:6" x14ac:dyDescent="0.6">
      <c r="A28" t="s">
        <v>26</v>
      </c>
      <c r="B28" s="1">
        <v>22916042</v>
      </c>
      <c r="C28">
        <v>7</v>
      </c>
      <c r="D28">
        <v>-13</v>
      </c>
      <c r="E28" s="2">
        <f t="shared" si="1"/>
        <v>88</v>
      </c>
      <c r="F28" s="2"/>
    </row>
    <row r="29" spans="1:6" x14ac:dyDescent="0.6">
      <c r="A29" t="s">
        <v>27</v>
      </c>
      <c r="B29" s="1">
        <v>22916042</v>
      </c>
      <c r="C29">
        <v>3</v>
      </c>
      <c r="D29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유진테크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2026-10-06T09:32:04Z</dcterms:modified>
</cp:coreProperties>
</file>