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2F8DD9E2-847B-495A-AB51-1883BB5218AC}" xr6:coauthVersionLast="47" xr6:coauthVersionMax="47" xr10:uidLastSave="{00000000-0000-0000-0000-000000000000}"/>
  <bookViews>
    <workbookView xWindow="28702" yWindow="-98" windowWidth="28995" windowHeight="16395" xr2:uid="{CD60ED9A-4380-49BF-8992-0A3F05A505D9}"/>
  </bookViews>
  <sheets>
    <sheet name="현대지에프홀딩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E4" i="1"/>
  <c r="F4" i="1" s="1"/>
  <c r="F6" i="1"/>
  <c r="F7" i="1"/>
  <c r="F8" i="1"/>
  <c r="F9" i="1"/>
  <c r="F10" i="1"/>
  <c r="F11" i="1"/>
  <c r="F12" i="1"/>
  <c r="F13" i="1"/>
  <c r="F14" i="1"/>
  <c r="E3" i="1"/>
  <c r="F3" i="1" s="1"/>
  <c r="E2" i="1"/>
  <c r="F2" i="1" s="1"/>
  <c r="F5" i="1"/>
</calcChain>
</file>

<file path=xl/sharedStrings.xml><?xml version="1.0" encoding="utf-8"?>
<sst xmlns="http://schemas.openxmlformats.org/spreadsheetml/2006/main" count="31" uniqueCount="31">
  <si>
    <t>분기</t>
  </si>
  <si>
    <t>상장주식수</t>
  </si>
  <si>
    <t>영업이익</t>
  </si>
  <si>
    <t>순이익</t>
  </si>
  <si>
    <t>4Q_income</t>
  </si>
  <si>
    <t>목표가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</si>
  <si>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</si>
  <si>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</si>
  <si>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</si>
  <si>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</si>
  <si>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</si>
  <si>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</si>
  <si>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</si>
  <si>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</si>
  <si>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</si>
  <si>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</si>
  <si>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</si>
  <si>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</si>
  <si>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</si>
  <si>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</si>
  <si>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</si>
  <si>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</si>
  <si>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</si>
  <si>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</si>
  <si>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2025.4Q</t>
    <phoneticPr fontId="18" type="noConversion"/>
  </si>
  <si>
    <t>2025.3Q</t>
    <phoneticPr fontId="18" type="noConversion"/>
  </si>
  <si>
    <t>2025.2Q</t>
    <phoneticPr fontId="18" type="noConversion"/>
  </si>
  <si>
    <t>2020.3Q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</si>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</sst>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3" tint="0.249977111117893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41" fontId="19" fillId="33" borderId="0" xfId="42" applyFont="1" applyFill="1">
      <alignment vertical="center"/>
    </xf>
    <xf numFmtId="41" fontId="19" fillId="0" borderId="0" xfId="42" applyFont="1">
      <alignment vertical="center"/>
    </xf>
    <xf numFmtId="41" fontId="2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FF40-79D7-4083-A574-40B751615FC3}">
  <dimension ref="A1:F28"/>
  <sheetViews>
    <sheetView tabSelected="1" zoomScaleNormal="100" workbookViewId="0">
      <selection activeCell="E4" sqref="E4:E26"/>
    </sheetView>
  </sheetViews>
  <sheetFormatPr defaultRowHeight="16.899999999999999"/>
  <cols>
    <col min="2" max="2" width="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30</v>
      </c>
      <c r="B2" s="1">
        <v>155904301</v>
      </c>
      <c r="C2" s="6">
        <v>861</v>
      </c>
      <c r="D2" s="6">
        <v>660</v>
      </c>
      <c r="E2" s="3">
        <f>(C2*2+C3*2)</f>
        <v>3988</v>
      </c>
      <c r="F2" s="3">
        <f>E2*100000000/B2*8</f>
        <v>20463.835696232651</v>
      </c>
    </row>
    <row r="3" spans="1:6">
      <c r="A3" t="s">
        <v>29</v>
      </c>
      <c r="B3" s="1">
        <v>155904301</v>
      </c>
      <c r="C3" s="6">
        <v>1133</v>
      </c>
      <c r="D3" s="6">
        <v>770</v>
      </c>
      <c r="E3" s="3">
        <f>(C2*2+C3*2)</f>
        <v>3988</v>
      </c>
      <c r="F3" s="3">
        <f t="shared" ref="F3:F25" si="0">E3*100000000/B3*8</f>
        <v>20463.835696232651</v>
      </c>
    </row>
    <row r="4" spans="1:6">
      <c r="A4" t="s">
        <v>28</v>
      </c>
      <c r="B4" s="1">
        <v>155904301</v>
      </c>
      <c r="C4" s="4">
        <v>1096</v>
      </c>
      <c r="D4" s="4">
        <v>780</v>
      </c>
      <c r="E4" s="3">
        <f>(C3+C4*2+C2)</f>
        <v>4186</v>
      </c>
      <c r="F4" s="3">
        <f t="shared" si="0"/>
        <v>21479.843586868075</v>
      </c>
    </row>
    <row r="5" spans="1:6">
      <c r="A5" t="s">
        <v>24</v>
      </c>
      <c r="B5" s="1">
        <v>155904301</v>
      </c>
      <c r="C5" s="4">
        <v>292</v>
      </c>
      <c r="D5" s="4">
        <v>377</v>
      </c>
      <c r="E5" s="3">
        <f t="shared" ref="E5:E26" si="1">(C4+C5*2+C3)</f>
        <v>2813</v>
      </c>
      <c r="F5" s="3">
        <f t="shared" si="0"/>
        <v>14434.495941199211</v>
      </c>
    </row>
    <row r="6" spans="1:6">
      <c r="A6" t="s">
        <v>25</v>
      </c>
      <c r="B6" s="1">
        <v>155904301</v>
      </c>
      <c r="C6" s="4">
        <v>748</v>
      </c>
      <c r="D6" s="4">
        <v>1285</v>
      </c>
      <c r="E6" s="3">
        <f t="shared" si="1"/>
        <v>2884</v>
      </c>
      <c r="F6" s="3">
        <f t="shared" si="0"/>
        <v>14798.82200299272</v>
      </c>
    </row>
    <row r="7" spans="1:6">
      <c r="A7" t="s">
        <v>26</v>
      </c>
      <c r="B7" s="1">
        <v>155904301</v>
      </c>
      <c r="C7" s="5">
        <v>745</v>
      </c>
      <c r="D7" s="5">
        <v>727</v>
      </c>
      <c r="E7" s="3">
        <f t="shared" si="1"/>
        <v>2530</v>
      </c>
      <c r="F7" s="3">
        <f t="shared" si="0"/>
        <v>12982.323047008178</v>
      </c>
    </row>
    <row r="8" spans="1:6">
      <c r="A8" t="s">
        <v>6</v>
      </c>
      <c r="B8" s="1">
        <v>155904301</v>
      </c>
      <c r="C8" s="5">
        <v>956</v>
      </c>
      <c r="D8" s="5">
        <v>2038</v>
      </c>
      <c r="E8" s="3">
        <f t="shared" si="1"/>
        <v>3405</v>
      </c>
      <c r="F8" s="3">
        <f t="shared" si="0"/>
        <v>17472.256907139465</v>
      </c>
    </row>
    <row r="9" spans="1:6">
      <c r="A9" t="s">
        <v>7</v>
      </c>
      <c r="B9" s="1">
        <v>155904301</v>
      </c>
      <c r="C9" s="5">
        <v>203</v>
      </c>
      <c r="D9" s="5">
        <v>1618</v>
      </c>
      <c r="E9" s="3">
        <f t="shared" si="1"/>
        <v>2107</v>
      </c>
      <c r="F9" s="3">
        <f t="shared" si="0"/>
        <v>10811.760735196138</v>
      </c>
    </row>
    <row r="10" spans="1:6">
      <c r="A10" t="s">
        <v>8</v>
      </c>
      <c r="B10" s="1">
        <v>155904301</v>
      </c>
      <c r="C10" s="5">
        <v>666</v>
      </c>
      <c r="D10" s="5">
        <v>662</v>
      </c>
      <c r="E10" s="3">
        <f t="shared" si="1"/>
        <v>2491</v>
      </c>
      <c r="F10" s="3">
        <f t="shared" si="0"/>
        <v>12782.200280670897</v>
      </c>
    </row>
    <row r="11" spans="1:6">
      <c r="A11" t="s">
        <v>9</v>
      </c>
      <c r="B11" s="1">
        <v>155904301</v>
      </c>
      <c r="C11" s="5">
        <v>744</v>
      </c>
      <c r="D11" s="5">
        <v>4922</v>
      </c>
      <c r="E11" s="3">
        <f t="shared" si="1"/>
        <v>2357</v>
      </c>
      <c r="F11" s="3">
        <f t="shared" si="0"/>
        <v>12094.598980947934</v>
      </c>
    </row>
    <row r="12" spans="1:6">
      <c r="A12" t="s">
        <v>10</v>
      </c>
      <c r="B12" s="1">
        <v>155904301</v>
      </c>
      <c r="C12" s="5">
        <v>368</v>
      </c>
      <c r="D12" s="5">
        <v>719</v>
      </c>
      <c r="E12" s="3">
        <f t="shared" si="1"/>
        <v>2146</v>
      </c>
      <c r="F12" s="3">
        <f t="shared" si="0"/>
        <v>11011.883501533419</v>
      </c>
    </row>
    <row r="13" spans="1:6">
      <c r="A13" t="s">
        <v>11</v>
      </c>
      <c r="B13" s="1">
        <v>155904301</v>
      </c>
      <c r="C13" s="3">
        <v>-216</v>
      </c>
      <c r="D13" s="3">
        <v>1286</v>
      </c>
      <c r="E13" s="3">
        <f t="shared" si="1"/>
        <v>680</v>
      </c>
      <c r="F13" s="3">
        <f t="shared" si="0"/>
        <v>3489.3200284448853</v>
      </c>
    </row>
    <row r="14" spans="1:6">
      <c r="A14" t="s">
        <v>12</v>
      </c>
      <c r="B14" s="1">
        <v>155904301</v>
      </c>
      <c r="C14" s="3">
        <v>51</v>
      </c>
      <c r="D14" s="3">
        <v>8460</v>
      </c>
      <c r="E14" s="3">
        <f t="shared" si="1"/>
        <v>254</v>
      </c>
      <c r="F14" s="3">
        <f t="shared" si="0"/>
        <v>1303.3636576838248</v>
      </c>
    </row>
    <row r="15" spans="1:6">
      <c r="A15" t="s">
        <v>13</v>
      </c>
      <c r="B15" s="1">
        <v>155904301</v>
      </c>
      <c r="C15" s="3">
        <v>112</v>
      </c>
      <c r="D15" s="3">
        <v>154</v>
      </c>
      <c r="E15" s="3">
        <f t="shared" si="1"/>
        <v>59</v>
      </c>
      <c r="F15" s="3">
        <f t="shared" si="0"/>
        <v>302.7498259974239</v>
      </c>
    </row>
    <row r="16" spans="1:6">
      <c r="A16" t="s">
        <v>14</v>
      </c>
      <c r="B16" s="1">
        <v>155904301</v>
      </c>
      <c r="C16" s="3">
        <v>-57</v>
      </c>
      <c r="D16" s="3">
        <v>1110</v>
      </c>
      <c r="E16" s="3">
        <f t="shared" si="1"/>
        <v>49</v>
      </c>
      <c r="F16" s="3">
        <f t="shared" si="0"/>
        <v>251.43629616735205</v>
      </c>
    </row>
    <row r="17" spans="1:6">
      <c r="A17" t="s">
        <v>15</v>
      </c>
      <c r="B17" s="1">
        <v>155904301</v>
      </c>
      <c r="C17" s="3">
        <v>-1070</v>
      </c>
      <c r="D17" s="3">
        <v>-467</v>
      </c>
      <c r="E17" s="3">
        <f t="shared" si="1"/>
        <v>-2085</v>
      </c>
      <c r="F17" s="3">
        <f t="shared" si="0"/>
        <v>-10698.87096956998</v>
      </c>
    </row>
    <row r="18" spans="1:6">
      <c r="A18" t="s">
        <v>16</v>
      </c>
      <c r="B18" s="1">
        <v>155904301</v>
      </c>
      <c r="C18" s="3">
        <v>283</v>
      </c>
      <c r="D18" s="3">
        <v>314</v>
      </c>
      <c r="E18" s="3">
        <f t="shared" si="1"/>
        <v>-561</v>
      </c>
      <c r="F18" s="3">
        <f t="shared" si="0"/>
        <v>-2878.6890234670304</v>
      </c>
    </row>
    <row r="19" spans="1:6">
      <c r="A19" t="s">
        <v>17</v>
      </c>
      <c r="B19" s="1">
        <v>155904301</v>
      </c>
      <c r="C19" s="3">
        <v>244</v>
      </c>
      <c r="D19" s="3">
        <v>278</v>
      </c>
      <c r="E19" s="3">
        <f t="shared" si="1"/>
        <v>-299</v>
      </c>
      <c r="F19" s="3">
        <f t="shared" si="0"/>
        <v>-1534.2745419191483</v>
      </c>
    </row>
    <row r="20" spans="1:6">
      <c r="A20" t="s">
        <v>18</v>
      </c>
      <c r="B20" s="1">
        <v>155904301</v>
      </c>
      <c r="C20" s="3">
        <v>234</v>
      </c>
      <c r="D20" s="3">
        <v>328</v>
      </c>
      <c r="E20" s="3">
        <f t="shared" si="1"/>
        <v>995</v>
      </c>
      <c r="F20" s="3">
        <f t="shared" si="0"/>
        <v>5105.6962180921491</v>
      </c>
    </row>
    <row r="21" spans="1:6">
      <c r="A21" t="s">
        <v>19</v>
      </c>
      <c r="B21" s="1">
        <v>155904301</v>
      </c>
      <c r="C21" s="3">
        <v>-35</v>
      </c>
      <c r="D21" s="3">
        <v>-523</v>
      </c>
      <c r="E21" s="3">
        <f t="shared" si="1"/>
        <v>408</v>
      </c>
      <c r="F21" s="3">
        <f t="shared" si="0"/>
        <v>2093.5920170669315</v>
      </c>
    </row>
    <row r="22" spans="1:6">
      <c r="A22" t="s">
        <v>20</v>
      </c>
      <c r="B22" s="1">
        <v>155904301</v>
      </c>
      <c r="C22" s="3">
        <v>140</v>
      </c>
      <c r="D22" s="3">
        <v>320</v>
      </c>
      <c r="E22" s="3">
        <f t="shared" si="1"/>
        <v>479</v>
      </c>
      <c r="F22" s="3">
        <f t="shared" si="0"/>
        <v>2457.9180788604413</v>
      </c>
    </row>
    <row r="23" spans="1:6">
      <c r="A23" t="s">
        <v>21</v>
      </c>
      <c r="B23" s="1">
        <v>155904301</v>
      </c>
      <c r="C23" s="3">
        <v>259</v>
      </c>
      <c r="D23" s="3">
        <v>251</v>
      </c>
      <c r="E23" s="3">
        <f t="shared" si="1"/>
        <v>623</v>
      </c>
      <c r="F23" s="3">
        <f t="shared" si="0"/>
        <v>3196.8329084134762</v>
      </c>
    </row>
    <row r="24" spans="1:6">
      <c r="A24" t="s">
        <v>22</v>
      </c>
      <c r="B24" s="1">
        <v>155904301</v>
      </c>
      <c r="C24" s="3">
        <v>222</v>
      </c>
      <c r="D24" s="3">
        <v>366</v>
      </c>
      <c r="E24" s="3">
        <f t="shared" si="1"/>
        <v>843</v>
      </c>
      <c r="F24" s="3">
        <f t="shared" si="0"/>
        <v>4325.7305646750565</v>
      </c>
    </row>
    <row r="25" spans="1:6">
      <c r="A25" t="s">
        <v>23</v>
      </c>
      <c r="B25" s="1">
        <v>155904301</v>
      </c>
      <c r="C25" s="3">
        <v>21</v>
      </c>
      <c r="D25" s="3">
        <v>-93</v>
      </c>
      <c r="E25" s="3">
        <f t="shared" si="1"/>
        <v>523</v>
      </c>
      <c r="F25" s="3">
        <f t="shared" si="0"/>
        <v>2683.6976101127575</v>
      </c>
    </row>
    <row r="26" spans="1:6">
      <c r="A26" t="s">
        <v>27</v>
      </c>
      <c r="B26" s="1">
        <v>155904301</v>
      </c>
      <c r="C26" s="3">
        <v>234</v>
      </c>
      <c r="D26" s="3">
        <v>243</v>
      </c>
      <c r="E26" s="3">
        <f t="shared" si="1"/>
        <v>711</v>
      </c>
      <c r="F26" s="3"/>
    </row>
    <row r="27" spans="1:6">
      <c r="B27" s="1"/>
      <c r="F27" s="2"/>
    </row>
    <row r="28" spans="1:6">
      <c r="B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현대지에프홀딩스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2025-07-13T00:36:23Z</dcterms:created>
  <dcterms:modified xsi:type="dcterms:W3CDTF">2026-05-20T23:19:36Z</dcterms:modified>
</cp:coreProperties>
</file>