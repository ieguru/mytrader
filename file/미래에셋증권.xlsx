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7FCA8E20-4C15-422C-9C71-E90961C2F2BA}" xr6:coauthVersionLast="47" xr6:coauthVersionMax="47" xr10:uidLastSave="{00000000-0000-0000-0000-000000000000}"/>
  <bookViews>
    <workbookView xWindow="28702" yWindow="-98" windowWidth="28995" windowHeight="16395" xr2:uid="{C8D1CA31-9A8D-48BC-97FC-23CBA29A2F93}"/>
  </bookViews>
  <sheets>
    <sheet name="미래에셋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2" i="1"/>
  <c r="F2" i="1" s="1"/>
  <c r="E5" i="1"/>
  <c r="F5" i="1" s="1"/>
  <c r="E4" i="1"/>
  <c r="F4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7" i="1"/>
  <c r="F7" i="1" s="1"/>
  <c r="E6" i="1"/>
  <c r="F6" i="1" s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<sst xmlns="http://schemas.openxmlformats.org/spreadsheetml/2006/main" count="31" uniqueCount="31">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</sst>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  <xf numFmtId="176" fontId="14" fillId="34" borderId="10" xfId="42" applyNumberFormat="1" applyFont="1" applyFill="1" applyBorder="1">
      <alignment vertical="center"/>
    </xf>
    <xf numFmtId="176" fontId="19" fillId="33" borderId="1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F2" sqref="F2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30</v>
      </c>
      <c r="B2" s="3">
        <v>567085734</v>
      </c>
      <c r="C2" s="6">
        <v>5775</v>
      </c>
      <c r="D2" s="6">
        <v>4277</v>
      </c>
      <c r="E2" s="4">
        <f>(C2*2+C3*2)</f>
        <v>27590.400000000001</v>
      </c>
      <c r="F2" s="4">
        <f>E2*100000000/B2*6</f>
        <v>29191.776494239937</v>
      </c>
    </row>
    <row r="3" spans="1:6">
      <c r="A3" s="2" t="s">
        <v>29</v>
      </c>
      <c r="B3" s="3">
        <v>567085734</v>
      </c>
      <c r="C3" s="6">
        <v>8020.2</v>
      </c>
      <c r="D3" s="6">
        <v>5915.2</v>
      </c>
      <c r="E3" s="4">
        <f>(C2*2+C3*2)</f>
        <v>27590.400000000001</v>
      </c>
      <c r="F3" s="4">
        <f>E3*100000000/B3*6</f>
        <v>29191.776494239937</v>
      </c>
    </row>
    <row r="4" spans="1:6">
      <c r="A4" s="2" t="s">
        <v>26</v>
      </c>
      <c r="B4" s="3">
        <v>567085734</v>
      </c>
      <c r="C4" s="6">
        <v>13399.9</v>
      </c>
      <c r="D4" s="6">
        <v>10105.299999999999</v>
      </c>
      <c r="E4" s="4">
        <f>(C3*2+C4*2)</f>
        <v>42840.2</v>
      </c>
      <c r="F4" s="4">
        <f t="shared" ref="F4:F26" si="0">E4*100000000/B4*6</f>
        <v>45326.691290033399</v>
      </c>
    </row>
    <row r="5" spans="1:6">
      <c r="A5" s="2" t="s">
        <v>25</v>
      </c>
      <c r="B5" s="3">
        <v>567085734</v>
      </c>
      <c r="C5" s="7">
        <v>8456.7999999999993</v>
      </c>
      <c r="D5" s="7">
        <v>5671</v>
      </c>
      <c r="E5" s="4">
        <f>(C4*2+C5+C3)</f>
        <v>43276.799999999996</v>
      </c>
      <c r="F5" s="4">
        <f t="shared" si="0"/>
        <v>45788.6320236721</v>
      </c>
    </row>
    <row r="6" spans="1:6">
      <c r="A6" s="2" t="s">
        <v>24</v>
      </c>
      <c r="B6" s="3">
        <v>567085734</v>
      </c>
      <c r="C6" s="7">
        <v>2228</v>
      </c>
      <c r="D6" s="7">
        <v>3438</v>
      </c>
      <c r="E6" s="5">
        <f>(C4+C5+C6*2)</f>
        <v>26312.699999999997</v>
      </c>
      <c r="F6" s="5">
        <f t="shared" si="0"/>
        <v>27839.917411852926</v>
      </c>
    </row>
    <row r="7" spans="1:6">
      <c r="A7" s="2" t="s">
        <v>27</v>
      </c>
      <c r="B7" s="3">
        <v>567085734</v>
      </c>
      <c r="C7" s="7">
        <v>5004</v>
      </c>
      <c r="D7" s="7">
        <v>4059</v>
      </c>
      <c r="E7" s="5">
        <f t="shared" ref="E7:E26" si="1">(C5+C6+C7*2)</f>
        <v>20692.8</v>
      </c>
      <c r="F7" s="5">
        <f t="shared" si="0"/>
        <v>21893.832370679949</v>
      </c>
    </row>
    <row r="8" spans="1:6">
      <c r="A8" s="2" t="s">
        <v>3</v>
      </c>
      <c r="B8" s="3">
        <v>567085734</v>
      </c>
      <c r="C8" s="7">
        <v>3462</v>
      </c>
      <c r="D8" s="7">
        <v>2582</v>
      </c>
      <c r="E8" s="5">
        <f t="shared" si="1"/>
        <v>14156</v>
      </c>
      <c r="F8" s="5">
        <f t="shared" si="0"/>
        <v>14977.629467222676</v>
      </c>
    </row>
    <row r="9" spans="1:6">
      <c r="A9" s="2" t="s">
        <v>4</v>
      </c>
      <c r="B9" s="3">
        <v>567085734</v>
      </c>
      <c r="C9" s="7">
        <v>2736</v>
      </c>
      <c r="D9" s="7">
        <v>2637</v>
      </c>
      <c r="E9" s="5">
        <f t="shared" si="1"/>
        <v>13938</v>
      </c>
      <c r="F9" s="5">
        <f t="shared" si="0"/>
        <v>14746.976512726029</v>
      </c>
    </row>
    <row r="10" spans="1:6">
      <c r="A10" s="2" t="s">
        <v>5</v>
      </c>
      <c r="B10" s="3">
        <v>567085734</v>
      </c>
      <c r="C10" s="7">
        <v>3708</v>
      </c>
      <c r="D10" s="7">
        <v>2901</v>
      </c>
      <c r="E10" s="5">
        <f t="shared" si="1"/>
        <v>13614</v>
      </c>
      <c r="F10" s="5">
        <f t="shared" si="0"/>
        <v>14404.171204208073</v>
      </c>
    </row>
    <row r="11" spans="1:6">
      <c r="A11" s="2" t="s">
        <v>6</v>
      </c>
      <c r="B11" s="3">
        <v>567085734</v>
      </c>
      <c r="C11" s="7">
        <v>2733</v>
      </c>
      <c r="D11" s="7">
        <v>2012</v>
      </c>
      <c r="E11" s="5">
        <f t="shared" si="1"/>
        <v>11910</v>
      </c>
      <c r="F11" s="5">
        <f t="shared" si="0"/>
        <v>12601.269211261801</v>
      </c>
    </row>
    <row r="12" spans="1:6">
      <c r="A12" s="2" t="s">
        <v>7</v>
      </c>
      <c r="B12" s="3">
        <v>567085734</v>
      </c>
      <c r="C12" s="7">
        <v>2705</v>
      </c>
      <c r="D12" s="7">
        <v>1705</v>
      </c>
      <c r="E12" s="5">
        <f t="shared" si="1"/>
        <v>11851</v>
      </c>
      <c r="F12" s="5">
        <f t="shared" si="0"/>
        <v>12538.844787797114</v>
      </c>
    </row>
    <row r="13" spans="1:6">
      <c r="A13" s="2" t="s">
        <v>8</v>
      </c>
      <c r="B13" s="3">
        <v>567085734</v>
      </c>
      <c r="C13" s="7">
        <v>-904</v>
      </c>
      <c r="D13" s="7">
        <v>-1227</v>
      </c>
      <c r="E13" s="5">
        <f t="shared" si="1"/>
        <v>3630</v>
      </c>
      <c r="F13" s="5">
        <f t="shared" si="0"/>
        <v>3840.6891046918845</v>
      </c>
    </row>
    <row r="14" spans="1:6">
      <c r="A14" s="2" t="s">
        <v>9</v>
      </c>
      <c r="B14" s="3">
        <v>567085734</v>
      </c>
      <c r="C14" s="7">
        <v>1731</v>
      </c>
      <c r="D14" s="7">
        <v>769</v>
      </c>
      <c r="E14" s="5">
        <f t="shared" si="1"/>
        <v>5263</v>
      </c>
      <c r="F14" s="5">
        <f t="shared" si="0"/>
        <v>5568.4701812653957</v>
      </c>
    </row>
    <row r="15" spans="1:6">
      <c r="A15" s="2" t="s">
        <v>10</v>
      </c>
      <c r="B15" s="3">
        <v>567085734</v>
      </c>
      <c r="C15" s="7">
        <v>1567</v>
      </c>
      <c r="D15" s="7">
        <v>1409</v>
      </c>
      <c r="E15" s="5">
        <f t="shared" si="1"/>
        <v>3961</v>
      </c>
      <c r="F15" s="5">
        <f t="shared" si="0"/>
        <v>4190.9007007395467</v>
      </c>
    </row>
    <row r="16" spans="1:6">
      <c r="A16" s="2" t="s">
        <v>11</v>
      </c>
      <c r="B16" s="3">
        <v>567085734</v>
      </c>
      <c r="C16" s="7">
        <v>2817</v>
      </c>
      <c r="D16" s="7">
        <v>2382</v>
      </c>
      <c r="E16" s="5">
        <f t="shared" si="1"/>
        <v>8932</v>
      </c>
      <c r="F16" s="5">
        <f t="shared" si="0"/>
        <v>9450.4228879085149</v>
      </c>
    </row>
    <row r="17" spans="1:6">
      <c r="A17" s="2" t="s">
        <v>12</v>
      </c>
      <c r="B17" s="3">
        <v>567085734</v>
      </c>
      <c r="C17" s="7">
        <v>799</v>
      </c>
      <c r="D17" s="7">
        <v>1410</v>
      </c>
      <c r="E17" s="5">
        <f t="shared" si="1"/>
        <v>5982</v>
      </c>
      <c r="F17" s="5">
        <f t="shared" si="0"/>
        <v>6329.2017146740636</v>
      </c>
    </row>
    <row r="18" spans="1:6">
      <c r="A18" s="2" t="s">
        <v>13</v>
      </c>
      <c r="B18" s="3">
        <v>567085734</v>
      </c>
      <c r="C18" s="7">
        <v>1498</v>
      </c>
      <c r="D18" s="7">
        <v>1044</v>
      </c>
      <c r="E18" s="5">
        <f t="shared" si="1"/>
        <v>6612</v>
      </c>
      <c r="F18" s="5">
        <f t="shared" si="0"/>
        <v>6995.7675923478619</v>
      </c>
    </row>
    <row r="19" spans="1:6">
      <c r="A19" s="2" t="s">
        <v>14</v>
      </c>
      <c r="B19" s="3">
        <v>567085734</v>
      </c>
      <c r="C19" s="7">
        <v>3213</v>
      </c>
      <c r="D19" s="7">
        <v>2635</v>
      </c>
      <c r="E19" s="5">
        <f t="shared" si="1"/>
        <v>8723</v>
      </c>
      <c r="F19" s="5">
        <f t="shared" si="0"/>
        <v>9229.2923030929214</v>
      </c>
    </row>
    <row r="20" spans="1:6">
      <c r="A20" s="2" t="s">
        <v>15</v>
      </c>
      <c r="B20" s="3">
        <v>567085734</v>
      </c>
      <c r="C20" s="7">
        <v>2847</v>
      </c>
      <c r="D20" s="7">
        <v>1971</v>
      </c>
      <c r="E20" s="5">
        <f t="shared" si="1"/>
        <v>10405</v>
      </c>
      <c r="F20" s="5">
        <f t="shared" si="0"/>
        <v>11008.917392374395</v>
      </c>
    </row>
    <row r="21" spans="1:6">
      <c r="A21" s="2" t="s">
        <v>16</v>
      </c>
      <c r="B21" s="3">
        <v>567085734</v>
      </c>
      <c r="C21" s="7">
        <v>2349</v>
      </c>
      <c r="D21" s="7">
        <v>1904</v>
      </c>
      <c r="E21" s="5">
        <f t="shared" si="1"/>
        <v>10758</v>
      </c>
      <c r="F21" s="5">
        <f t="shared" si="0"/>
        <v>11382.405892086857</v>
      </c>
    </row>
    <row r="22" spans="1:6">
      <c r="A22" s="2" t="s">
        <v>17</v>
      </c>
      <c r="B22" s="3">
        <v>567085734</v>
      </c>
      <c r="C22" s="7">
        <v>3972</v>
      </c>
      <c r="D22" s="7">
        <v>3398</v>
      </c>
      <c r="E22" s="5">
        <f t="shared" si="1"/>
        <v>13140</v>
      </c>
      <c r="F22" s="5">
        <f t="shared" si="0"/>
        <v>13902.659734339217</v>
      </c>
    </row>
    <row r="23" spans="1:6">
      <c r="A23" s="2" t="s">
        <v>18</v>
      </c>
      <c r="B23" s="3">
        <v>567085734</v>
      </c>
      <c r="C23" s="7">
        <v>4343</v>
      </c>
      <c r="D23" s="7">
        <v>3565</v>
      </c>
      <c r="E23" s="5">
        <f t="shared" si="1"/>
        <v>15007</v>
      </c>
      <c r="F23" s="5">
        <f t="shared" si="0"/>
        <v>15878.022422620139</v>
      </c>
    </row>
    <row r="24" spans="1:6">
      <c r="A24" s="2" t="s">
        <v>19</v>
      </c>
      <c r="B24" s="3">
        <v>567085734</v>
      </c>
      <c r="C24" s="7">
        <v>4191</v>
      </c>
      <c r="D24" s="7">
        <v>2968</v>
      </c>
      <c r="E24" s="5">
        <f t="shared" si="1"/>
        <v>16697</v>
      </c>
      <c r="F24" s="5">
        <f t="shared" si="0"/>
        <v>17666.111840506994</v>
      </c>
    </row>
    <row r="25" spans="1:6">
      <c r="A25" s="2" t="s">
        <v>20</v>
      </c>
      <c r="B25" s="3">
        <v>567085734</v>
      </c>
      <c r="C25" s="7">
        <v>2971</v>
      </c>
      <c r="D25" s="7">
        <v>1921</v>
      </c>
      <c r="E25" s="5">
        <f t="shared" si="1"/>
        <v>14476</v>
      </c>
      <c r="F25" s="5">
        <f t="shared" si="0"/>
        <v>15316.202611437941</v>
      </c>
    </row>
    <row r="26" spans="1:6">
      <c r="A26" s="2" t="s">
        <v>28</v>
      </c>
      <c r="B26" s="3">
        <v>567085734</v>
      </c>
      <c r="C26" s="7">
        <v>2942</v>
      </c>
      <c r="D26" s="7">
        <v>2310</v>
      </c>
      <c r="E26" s="5">
        <f t="shared" si="1"/>
        <v>13046</v>
      </c>
      <c r="F26" s="5">
        <f t="shared" si="0"/>
        <v>13803.203873225983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미래에셋증권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2026-04-10T22:04:09Z</dcterms:modified>
</cp:coreProperties>
</file>