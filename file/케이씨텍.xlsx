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0. JupyterNotebook\Finance\"/>
    </mc:Choice>
  </mc:AlternateContent>
  <xr:revisionPtr revIDLastSave="0" documentId="13_ncr:1_{D7F65196-4F1A-468C-821F-664D6492B2E4}" xr6:coauthVersionLast="47" xr6:coauthVersionMax="47" xr10:uidLastSave="{00000000-0000-0000-0000-000000000000}"/>
  <bookViews>
    <workbookView xWindow="28702" yWindow="-98" windowWidth="28995" windowHeight="16395" xr2:uid="{3B404238-6CFC-4173-9FBB-C15716A9B1DE}"/>
  </bookViews>
  <sheets>
    <sheet name="케이씨텍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E3" i="1"/>
  <c r="F3" i="1" s="1"/>
  <c r="E2" i="1"/>
  <c r="F4" i="1"/>
  <c r="F5" i="1"/>
  <c r="F6" i="1"/>
  <c r="F7" i="1"/>
  <c r="F2" i="1"/>
</calcChain>
</file>

<file path=xl/sharedStrings.xml><?xml version="1.0" encoding="utf-8"?>
<sst xmlns="http://schemas.openxmlformats.org/spreadsheetml/2006/main" count="34" uniqueCount="34">
  <si>
    <t>분기</t>
  </si>
  <si>
    <t>영업이익</t>
  </si>
  <si>
    <t>순이익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</si>
  <si>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</si>
  <si>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</si>
  <si>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</si>
  <si>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</si>
  <si>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</si>
  <si>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</si>
  <si>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</si>
  <si>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</si>
  <si>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</si>
  <si>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</si>
  <si>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</si>
  <si>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</si>
  <si>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</si>
  <si>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</si>
  <si>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</si>
  <si>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</si>
  <si>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</si>
  <si>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</si>
  <si>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2020.3Q</t>
  </si>
  <si>
    <t>2020.2Q</t>
  </si>
  <si>
    <t>2020.1Q</t>
  </si>
  <si>
    <t>상장주식수</t>
    <phoneticPr fontId="18" type="noConversion"/>
  </si>
  <si>
    <t>4Q_income</t>
  </si>
  <si>
    <t>목표가</t>
  </si>
  <si>
    <t>2025.2Q</t>
    <phoneticPr fontId="18" type="noConversion"/>
  </si>
  <si>
    <t>2025.3Q</t>
    <phoneticPr fontId="18" type="noConversion"/>
  </si>
  <si>
    <t>2026.3Q</t>
    <phoneticPr fontId="18" type="noConversion"/>
  </si>
  <si>
    <t>2026.2Q</t>
    <phoneticPr fontId="18" type="noConversion"/>
  </si>
  <si>
    <t>2026.1Q</t>
    <phoneticPr fontId="18" type="noConversion"/>
  </si>
  <si>
    <t>2025.4Q</t>
    <phoneticPr fontId="18" type="noConversion"/>
  </si>
  <si>
    <t>2026.4Q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</si>
</sst>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 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" fontId="0" fillId="0" borderId="0" xfId="0" applyNumberFormat="1">
      <alignment vertical="center"/>
    </xf>
    <xf numFmtId="3" fontId="0" fillId="0" borderId="0" xfId="0" applyNumberFormat="1">
      <alignment vertical="center"/>
    </xf>
    <xf numFmtId="176" fontId="0" fillId="0" borderId="0" xfId="42" applyNumberFormat="1" applyFont="1">
      <alignment vertical="center"/>
    </xf>
    <xf numFmtId="41" fontId="0" fillId="0" borderId="0" xfId="42" applyFon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39DB3-CE1B-42E2-AF4F-5D821B36F3D2}">
  <dimension ref="A1:F29"/>
  <sheetViews>
    <sheetView tabSelected="1" workbookViewId="0">
      <selection activeCell="G5" sqref="G5"/>
    </sheetView>
  </sheetViews>
  <sheetFormatPr defaultRowHeight="16.899999999999999" x14ac:dyDescent="0.6"/>
  <cols>
    <col min="2" max="2" width="10.25" bestFit="1" customWidth="1"/>
  </cols>
  <sheetData>
    <row r="1" spans="1:6" x14ac:dyDescent="0.6">
      <c r="A1" t="s">
        <v>0</v>
      </c>
      <c r="B1" t="s">
        <v>24</v>
      </c>
      <c r="C1" t="s">
        <v>1</v>
      </c>
      <c r="D1" t="s">
        <v>2</v>
      </c>
      <c r="E1" t="s">
        <v>25</v>
      </c>
      <c r="F1" t="s">
        <v>26</v>
      </c>
    </row>
    <row r="2" spans="1:6" x14ac:dyDescent="0.6">
      <c r="A2" t="s">
        <v>33</v>
      </c>
      <c r="B2" s="2">
        <v>20861556</v>
      </c>
      <c r="C2">
        <v>403</v>
      </c>
      <c r="D2">
        <v>369</v>
      </c>
      <c r="E2" s="3">
        <f>(D2*3+D3*1)</f>
        <v>1406</v>
      </c>
      <c r="F2" s="4">
        <f>E2*100000000/B2*20</f>
        <v>134793.39700260136</v>
      </c>
    </row>
    <row r="3" spans="1:6" x14ac:dyDescent="0.6">
      <c r="A3" t="s">
        <v>29</v>
      </c>
      <c r="B3" s="2">
        <v>20861556</v>
      </c>
      <c r="C3">
        <v>345</v>
      </c>
      <c r="D3">
        <v>299</v>
      </c>
      <c r="E3" s="3">
        <f>(D3*2+D2+D4)</f>
        <v>1178</v>
      </c>
      <c r="F3" s="4">
        <f t="shared" ref="F3:F28" si="0">E3*100000000/B3*20</f>
        <v>112935.00829947679</v>
      </c>
    </row>
    <row r="4" spans="1:6" x14ac:dyDescent="0.6">
      <c r="A4" t="s">
        <v>30</v>
      </c>
      <c r="B4" s="2">
        <v>20861556</v>
      </c>
      <c r="C4">
        <v>235</v>
      </c>
      <c r="D4">
        <v>211</v>
      </c>
      <c r="E4" s="3">
        <f t="shared" ref="E4:E29" si="1">(D4*2+D3+D5)</f>
        <v>1037</v>
      </c>
      <c r="F4" s="4">
        <f t="shared" si="0"/>
        <v>99417.320548860298</v>
      </c>
    </row>
    <row r="5" spans="1:6" x14ac:dyDescent="0.6">
      <c r="A5" t="s">
        <v>31</v>
      </c>
      <c r="B5" s="2">
        <v>20861556</v>
      </c>
      <c r="C5">
        <v>348</v>
      </c>
      <c r="D5">
        <v>316</v>
      </c>
      <c r="E5" s="3">
        <f t="shared" si="1"/>
        <v>1038</v>
      </c>
      <c r="F5" s="4">
        <f t="shared" si="0"/>
        <v>99513.190674751211</v>
      </c>
    </row>
    <row r="6" spans="1:6" x14ac:dyDescent="0.6">
      <c r="A6" t="s">
        <v>32</v>
      </c>
      <c r="B6" s="2">
        <v>20861556</v>
      </c>
      <c r="C6">
        <v>217</v>
      </c>
      <c r="D6">
        <v>195</v>
      </c>
      <c r="E6" s="3">
        <f t="shared" si="1"/>
        <v>856</v>
      </c>
      <c r="F6" s="4">
        <f t="shared" si="0"/>
        <v>82064.827762607922</v>
      </c>
    </row>
    <row r="7" spans="1:6" x14ac:dyDescent="0.6">
      <c r="A7" t="s">
        <v>28</v>
      </c>
      <c r="B7" s="2">
        <v>20861556</v>
      </c>
      <c r="C7">
        <v>147</v>
      </c>
      <c r="D7">
        <v>150</v>
      </c>
      <c r="E7" s="3">
        <f t="shared" si="1"/>
        <v>590</v>
      </c>
      <c r="F7" s="4">
        <f t="shared" si="0"/>
        <v>56563.374275629292</v>
      </c>
    </row>
    <row r="8" spans="1:6" x14ac:dyDescent="0.6">
      <c r="A8" t="s">
        <v>27</v>
      </c>
      <c r="B8" s="2">
        <v>20861556</v>
      </c>
      <c r="C8">
        <v>86</v>
      </c>
      <c r="D8">
        <v>95</v>
      </c>
      <c r="E8" s="3">
        <f t="shared" si="1"/>
        <v>471</v>
      </c>
      <c r="F8" s="4">
        <f t="shared" si="0"/>
        <v>45154.829294612537</v>
      </c>
    </row>
    <row r="9" spans="1:6" x14ac:dyDescent="0.6">
      <c r="A9" t="s">
        <v>3</v>
      </c>
      <c r="B9" s="2">
        <v>20861556</v>
      </c>
      <c r="C9">
        <v>130</v>
      </c>
      <c r="D9">
        <v>131</v>
      </c>
      <c r="E9" s="3">
        <f t="shared" si="1"/>
        <v>486</v>
      </c>
      <c r="F9" s="4">
        <f t="shared" si="0"/>
        <v>46592.881182975994</v>
      </c>
    </row>
    <row r="10" spans="1:6" x14ac:dyDescent="0.6">
      <c r="A10" t="s">
        <v>4</v>
      </c>
      <c r="B10" s="2">
        <v>20861556</v>
      </c>
      <c r="C10">
        <v>157</v>
      </c>
      <c r="D10">
        <v>129</v>
      </c>
      <c r="E10" s="3">
        <f t="shared" si="1"/>
        <v>460</v>
      </c>
      <c r="F10" s="4">
        <f t="shared" si="0"/>
        <v>44100.257909812673</v>
      </c>
    </row>
    <row r="11" spans="1:6" x14ac:dyDescent="0.6">
      <c r="A11" t="s">
        <v>5</v>
      </c>
      <c r="B11" s="2">
        <v>20861556</v>
      </c>
      <c r="C11">
        <v>90</v>
      </c>
      <c r="D11">
        <v>71</v>
      </c>
      <c r="E11" s="3">
        <f t="shared" si="1"/>
        <v>345</v>
      </c>
      <c r="F11" s="4">
        <f t="shared" si="0"/>
        <v>33075.193432359505</v>
      </c>
    </row>
    <row r="12" spans="1:6" x14ac:dyDescent="0.6">
      <c r="A12" t="s">
        <v>6</v>
      </c>
      <c r="B12" s="2">
        <v>20861556</v>
      </c>
      <c r="C12">
        <v>53</v>
      </c>
      <c r="D12">
        <v>74</v>
      </c>
      <c r="E12" s="3">
        <f t="shared" si="1"/>
        <v>336</v>
      </c>
      <c r="F12" s="4">
        <f t="shared" si="0"/>
        <v>32212.362299341432</v>
      </c>
    </row>
    <row r="13" spans="1:6" x14ac:dyDescent="0.6">
      <c r="A13" t="s">
        <v>7</v>
      </c>
      <c r="B13" s="2">
        <v>20861556</v>
      </c>
      <c r="C13">
        <v>100</v>
      </c>
      <c r="D13">
        <v>117</v>
      </c>
      <c r="E13" s="3">
        <f t="shared" si="1"/>
        <v>372</v>
      </c>
      <c r="F13" s="4">
        <f t="shared" si="0"/>
        <v>35663.686831413725</v>
      </c>
    </row>
    <row r="14" spans="1:6" x14ac:dyDescent="0.6">
      <c r="A14" t="s">
        <v>8</v>
      </c>
      <c r="B14" s="2">
        <v>20861556</v>
      </c>
      <c r="C14">
        <v>109</v>
      </c>
      <c r="D14">
        <v>64</v>
      </c>
      <c r="E14" s="3">
        <f t="shared" si="1"/>
        <v>368</v>
      </c>
      <c r="F14" s="4">
        <f t="shared" si="0"/>
        <v>35280.206327850137</v>
      </c>
    </row>
    <row r="15" spans="1:6" x14ac:dyDescent="0.6">
      <c r="A15" t="s">
        <v>9</v>
      </c>
      <c r="B15" s="2">
        <v>20861556</v>
      </c>
      <c r="C15">
        <v>131</v>
      </c>
      <c r="D15">
        <v>123</v>
      </c>
      <c r="E15" s="3">
        <f t="shared" si="1"/>
        <v>408</v>
      </c>
      <c r="F15" s="4">
        <f t="shared" si="0"/>
        <v>39115.011363486024</v>
      </c>
    </row>
    <row r="16" spans="1:6" x14ac:dyDescent="0.6">
      <c r="A16" t="s">
        <v>10</v>
      </c>
      <c r="B16" s="2">
        <v>20861556</v>
      </c>
      <c r="C16">
        <v>84</v>
      </c>
      <c r="D16">
        <v>98</v>
      </c>
      <c r="E16" s="3">
        <f t="shared" si="1"/>
        <v>350</v>
      </c>
      <c r="F16" s="4">
        <f t="shared" si="0"/>
        <v>33554.544061813991</v>
      </c>
    </row>
    <row r="17" spans="1:6" x14ac:dyDescent="0.6">
      <c r="A17" t="s">
        <v>11</v>
      </c>
      <c r="B17" s="2">
        <v>20861556</v>
      </c>
      <c r="C17">
        <v>3</v>
      </c>
      <c r="D17">
        <v>31</v>
      </c>
      <c r="E17" s="3">
        <f t="shared" si="1"/>
        <v>233</v>
      </c>
      <c r="F17" s="4">
        <f t="shared" si="0"/>
        <v>22337.739332579025</v>
      </c>
    </row>
    <row r="18" spans="1:6" x14ac:dyDescent="0.6">
      <c r="A18" t="s">
        <v>12</v>
      </c>
      <c r="B18" s="2">
        <v>20861556</v>
      </c>
      <c r="C18">
        <v>120</v>
      </c>
      <c r="D18">
        <v>73</v>
      </c>
      <c r="E18" s="3">
        <f t="shared" si="1"/>
        <v>359</v>
      </c>
      <c r="F18" s="4">
        <f t="shared" si="0"/>
        <v>34417.375194832064</v>
      </c>
    </row>
    <row r="19" spans="1:6" x14ac:dyDescent="0.6">
      <c r="A19" t="s">
        <v>13</v>
      </c>
      <c r="B19" s="2">
        <v>20861556</v>
      </c>
      <c r="C19">
        <v>152</v>
      </c>
      <c r="D19">
        <v>182</v>
      </c>
      <c r="E19" s="3">
        <f t="shared" si="1"/>
        <v>597</v>
      </c>
      <c r="F19" s="4">
        <f t="shared" si="0"/>
        <v>57234.465156865568</v>
      </c>
    </row>
    <row r="20" spans="1:6" x14ac:dyDescent="0.6">
      <c r="A20" t="s">
        <v>14</v>
      </c>
      <c r="B20" s="2">
        <v>20861556</v>
      </c>
      <c r="C20">
        <v>175</v>
      </c>
      <c r="D20">
        <v>160</v>
      </c>
      <c r="E20" s="3">
        <f t="shared" si="1"/>
        <v>640</v>
      </c>
      <c r="F20" s="4">
        <f t="shared" si="0"/>
        <v>61356.880570174151</v>
      </c>
    </row>
    <row r="21" spans="1:6" x14ac:dyDescent="0.6">
      <c r="A21" t="s">
        <v>15</v>
      </c>
      <c r="B21" s="2">
        <v>20861556</v>
      </c>
      <c r="C21">
        <v>156</v>
      </c>
      <c r="D21">
        <v>138</v>
      </c>
      <c r="E21" s="3">
        <f t="shared" si="1"/>
        <v>586</v>
      </c>
      <c r="F21" s="4">
        <f t="shared" si="0"/>
        <v>56179.893772065705</v>
      </c>
    </row>
    <row r="22" spans="1:6" x14ac:dyDescent="0.6">
      <c r="A22" t="s">
        <v>16</v>
      </c>
      <c r="B22" s="2">
        <v>20861556</v>
      </c>
      <c r="C22">
        <v>215</v>
      </c>
      <c r="D22">
        <v>150</v>
      </c>
      <c r="E22" s="3">
        <f t="shared" si="1"/>
        <v>546</v>
      </c>
      <c r="F22" s="4">
        <f t="shared" si="0"/>
        <v>52345.088736429825</v>
      </c>
    </row>
    <row r="23" spans="1:6" x14ac:dyDescent="0.6">
      <c r="A23" t="s">
        <v>17</v>
      </c>
      <c r="B23" s="2">
        <v>20861556</v>
      </c>
      <c r="C23">
        <v>116</v>
      </c>
      <c r="D23">
        <v>108</v>
      </c>
      <c r="E23" s="3">
        <f t="shared" si="1"/>
        <v>434</v>
      </c>
      <c r="F23" s="4">
        <f t="shared" si="0"/>
        <v>41607.634636649345</v>
      </c>
    </row>
    <row r="24" spans="1:6" x14ac:dyDescent="0.6">
      <c r="A24" t="s">
        <v>18</v>
      </c>
      <c r="B24" s="2">
        <v>20861556</v>
      </c>
      <c r="C24">
        <v>93</v>
      </c>
      <c r="D24">
        <v>68</v>
      </c>
      <c r="E24" s="3">
        <f t="shared" si="1"/>
        <v>338</v>
      </c>
      <c r="F24" s="4">
        <f t="shared" si="0"/>
        <v>32404.102551123222</v>
      </c>
    </row>
    <row r="25" spans="1:6" x14ac:dyDescent="0.6">
      <c r="A25" t="s">
        <v>19</v>
      </c>
      <c r="B25" s="2">
        <v>20861556</v>
      </c>
      <c r="C25">
        <v>97</v>
      </c>
      <c r="D25">
        <v>94</v>
      </c>
      <c r="E25" s="3">
        <f t="shared" si="1"/>
        <v>421</v>
      </c>
      <c r="F25" s="4">
        <f t="shared" si="0"/>
        <v>40361.323000067685</v>
      </c>
    </row>
    <row r="26" spans="1:6" x14ac:dyDescent="0.6">
      <c r="A26" t="s">
        <v>20</v>
      </c>
      <c r="B26" s="2">
        <v>20861556</v>
      </c>
      <c r="C26">
        <v>231</v>
      </c>
      <c r="D26">
        <v>165</v>
      </c>
      <c r="E26" s="3">
        <f t="shared" si="1"/>
        <v>476</v>
      </c>
      <c r="F26" s="4">
        <f t="shared" si="0"/>
        <v>45634.17992406703</v>
      </c>
    </row>
    <row r="27" spans="1:6" x14ac:dyDescent="0.6">
      <c r="A27" t="s">
        <v>21</v>
      </c>
      <c r="B27" s="2">
        <v>20861556</v>
      </c>
      <c r="C27">
        <v>73</v>
      </c>
      <c r="D27">
        <v>52</v>
      </c>
      <c r="E27" s="3">
        <f t="shared" si="1"/>
        <v>390</v>
      </c>
      <c r="F27" s="4">
        <f t="shared" si="0"/>
        <v>37389.349097449871</v>
      </c>
    </row>
    <row r="28" spans="1:6" x14ac:dyDescent="0.6">
      <c r="A28" t="s">
        <v>22</v>
      </c>
      <c r="B28" s="2">
        <v>20861556</v>
      </c>
      <c r="C28">
        <v>160</v>
      </c>
      <c r="D28">
        <v>121</v>
      </c>
      <c r="E28" s="3">
        <f t="shared" si="1"/>
        <v>382</v>
      </c>
      <c r="F28" s="4">
        <f t="shared" si="0"/>
        <v>36622.388090322696</v>
      </c>
    </row>
    <row r="29" spans="1:6" x14ac:dyDescent="0.6">
      <c r="A29" t="s">
        <v>23</v>
      </c>
      <c r="B29" s="2">
        <v>20861556</v>
      </c>
      <c r="C29">
        <v>97</v>
      </c>
      <c r="D29">
        <v>88</v>
      </c>
      <c r="E29" s="3">
        <f t="shared" si="1"/>
        <v>297</v>
      </c>
      <c r="F29" s="1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케이씨텍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2025-01-28T10:20:59Z</dcterms:created>
  <dcterms:modified xsi:type="dcterms:W3CDTF">2026-10-06T09:39:20Z</dcterms:modified>
</cp:coreProperties>
</file>