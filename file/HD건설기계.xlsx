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0. JupyterNotebook\Finance\"/>
    </mc:Choice>
  </mc:AlternateContent>
  <xr:revisionPtr revIDLastSave="0" documentId="13_ncr:1_{7EB4F00A-7D8B-4EF3-8397-F03B7F48D766}" xr6:coauthVersionLast="47" xr6:coauthVersionMax="47" xr10:uidLastSave="{00000000-0000-0000-0000-000000000000}"/>
  <bookViews>
    <workbookView xWindow="-98" yWindow="-98" windowWidth="28996" windowHeight="15675" xr2:uid="{EB6E4689-50ED-4EEE-A8CD-43C5384F692E}"/>
  </bookViews>
  <sheets>
    <sheet name="HD건설기계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" i="1"/>
  <c r="E6" i="1"/>
  <c r="E7" i="1"/>
  <c r="E8" i="1"/>
  <c r="E4" i="1"/>
  <c r="E5" i="1"/>
  <c r="E3" i="1"/>
  <c r="E2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</calcChain>
</file>

<file path=xl/sharedStrings.xml><?xml version="1.0" encoding="utf-8"?>
<sst xmlns="http://schemas.openxmlformats.org/spreadsheetml/2006/main" count="34" uniqueCount="34">
  <si>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</si>
  <si>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</si>
  <si>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</si>
  <si>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</si>
  <si>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</si>
  <si>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</si>
  <si>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</si>
  <si>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</si>
  <si>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</si>
  <si>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</si>
  <si>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</si>
  <si>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</si>
  <si>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</si>
  <si>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</si>
  <si>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</si>
  <si>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</si>
  <si>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</si>
  <si>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</si>
  <si>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</si>
  <si>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</si>
  <si>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</si>
  <si>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2020.3Q</t>
  </si>
  <si>
    <t>2020.2Q</t>
  </si>
  <si>
    <t>2020.1Q</t>
  </si>
  <si>
    <t>2025.2Q</t>
    <phoneticPr fontId="18" type="noConversion"/>
  </si>
  <si>
    <t>4Q_income</t>
  </si>
  <si>
    <t>목표가</t>
  </si>
  <si>
    <t>상장주식수</t>
  </si>
  <si>
    <t>2025.3Q</t>
    <phoneticPr fontId="18" type="noConversion"/>
  </si>
  <si>
    <t>2025.4Q</t>
    <phoneticPr fontId="18" type="noConversion"/>
  </si>
  <si>
    <t>2026.1Q</t>
    <phoneticPr fontId="18" type="noConversion"/>
  </si>
  <si>
    <t>2026.2Q</t>
    <phoneticPr fontId="18" type="noConversion"/>
  </si>
  <si>
    <t>2026.3Q</t>
    <phoneticPr fontId="18" type="noConversion"/>
  </si>
  <si>
    <t>2026.4Q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</si>
</sst>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1" fontId="0" fillId="0" borderId="0" xfId="0" applyNumberFormat="1">
      <alignment vertical="center"/>
    </xf>
    <xf numFmtId="41" fontId="0" fillId="0" borderId="0" xfId="42" applyFon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6B4A4-31AA-455D-A1CB-549A6A0C35DD}">
  <dimension ref="A1:F29"/>
  <sheetViews>
    <sheetView tabSelected="1" workbookViewId="0">
      <selection activeCell="F2" sqref="F2:F27"/>
    </sheetView>
  </sheetViews>
  <sheetFormatPr defaultRowHeight="16.899999999999999" x14ac:dyDescent="0.6"/>
  <cols>
    <col min="2" max="2" width="11.375" bestFit="1" customWidth="1"/>
  </cols>
  <sheetData>
    <row r="1" spans="1:6" ht="17.25" customHeight="1" x14ac:dyDescent="0.6">
      <c r="A1" t="s">
        <v>0</v>
      </c>
      <c r="B1" t="s">
        <v>27</v>
      </c>
      <c r="C1" t="s">
        <v>1</v>
      </c>
      <c r="D1" t="s">
        <v>2</v>
      </c>
      <c r="E1" t="s">
        <v>25</v>
      </c>
      <c r="F1" t="s">
        <v>26</v>
      </c>
    </row>
    <row r="2" spans="1:6" ht="17.25" customHeight="1" x14ac:dyDescent="0.6">
      <c r="A2" t="s">
        <v>33</v>
      </c>
      <c r="B2" s="1">
        <v>47921897</v>
      </c>
      <c r="C2" s="3">
        <v>1520</v>
      </c>
      <c r="D2" s="3">
        <v>1243.3</v>
      </c>
      <c r="E2" s="3">
        <f>(C2+C3)*2</f>
        <v>6768</v>
      </c>
      <c r="F2" s="3">
        <f>E2*100000000/B2*10</f>
        <v>141229.8014830256</v>
      </c>
    </row>
    <row r="3" spans="1:6" x14ac:dyDescent="0.6">
      <c r="A3" t="s">
        <v>32</v>
      </c>
      <c r="B3" s="1">
        <v>47921897</v>
      </c>
      <c r="C3" s="3">
        <v>1864</v>
      </c>
      <c r="D3" s="3">
        <v>1256</v>
      </c>
      <c r="E3" s="3">
        <f>(C3+C2)*2</f>
        <v>6768</v>
      </c>
      <c r="F3" s="3">
        <f t="shared" ref="F3:F27" si="0">E3*100000000/B3*10</f>
        <v>141229.8014830256</v>
      </c>
    </row>
    <row r="4" spans="1:6" x14ac:dyDescent="0.6">
      <c r="A4" t="s">
        <v>31</v>
      </c>
      <c r="B4" s="1">
        <v>47921897</v>
      </c>
      <c r="C4" s="3">
        <v>1987</v>
      </c>
      <c r="D4" s="3">
        <v>1312</v>
      </c>
      <c r="E4" s="3">
        <f>(C4+C3*2+C2)</f>
        <v>7235</v>
      </c>
      <c r="F4" s="3">
        <f t="shared" si="0"/>
        <v>150974.82472365399</v>
      </c>
    </row>
    <row r="5" spans="1:6" x14ac:dyDescent="0.6">
      <c r="A5" t="s">
        <v>30</v>
      </c>
      <c r="B5" s="1">
        <v>47921897</v>
      </c>
      <c r="C5" s="3">
        <v>1907</v>
      </c>
      <c r="D5" s="3">
        <v>1739</v>
      </c>
      <c r="E5" s="3">
        <f>(C5+C4*2+C3)</f>
        <v>7745</v>
      </c>
      <c r="F5" s="3">
        <f t="shared" si="0"/>
        <v>161617.14132476851</v>
      </c>
    </row>
    <row r="6" spans="1:6" x14ac:dyDescent="0.6">
      <c r="A6" t="s">
        <v>29</v>
      </c>
      <c r="B6" s="1">
        <v>47921897</v>
      </c>
      <c r="C6" s="3">
        <v>334</v>
      </c>
      <c r="D6" s="3">
        <v>185</v>
      </c>
      <c r="E6" s="3">
        <f t="shared" ref="E6:E8" si="1">(C6+C5*2+C4)</f>
        <v>6135</v>
      </c>
      <c r="F6" s="3">
        <f t="shared" si="0"/>
        <v>128020.80852517171</v>
      </c>
    </row>
    <row r="7" spans="1:6" x14ac:dyDescent="0.6">
      <c r="A7" t="s">
        <v>28</v>
      </c>
      <c r="B7" s="1">
        <v>47921897</v>
      </c>
      <c r="C7" s="3">
        <v>558</v>
      </c>
      <c r="D7" s="3">
        <v>423</v>
      </c>
      <c r="E7" s="3">
        <f t="shared" si="1"/>
        <v>3133</v>
      </c>
      <c r="F7" s="3">
        <f t="shared" si="0"/>
        <v>65377.211590768202</v>
      </c>
    </row>
    <row r="8" spans="1:6" x14ac:dyDescent="0.6">
      <c r="A8" t="s">
        <v>24</v>
      </c>
      <c r="B8" s="1">
        <v>47921897</v>
      </c>
      <c r="C8" s="3">
        <v>400</v>
      </c>
      <c r="D8" s="3">
        <v>6</v>
      </c>
      <c r="E8" s="3">
        <f t="shared" si="1"/>
        <v>1850</v>
      </c>
      <c r="F8" s="3">
        <f t="shared" si="0"/>
        <v>38604.481788356585</v>
      </c>
    </row>
    <row r="9" spans="1:6" x14ac:dyDescent="0.6">
      <c r="A9" t="s">
        <v>3</v>
      </c>
      <c r="B9" s="1">
        <v>47921897</v>
      </c>
      <c r="C9" s="3">
        <v>417</v>
      </c>
      <c r="D9" s="3">
        <v>257</v>
      </c>
      <c r="E9" s="3">
        <f t="shared" ref="E6:E27" si="2">(C9*2+C8+C7)</f>
        <v>1792</v>
      </c>
      <c r="F9" s="3">
        <f t="shared" si="0"/>
        <v>37394.179116072977</v>
      </c>
    </row>
    <row r="10" spans="1:6" x14ac:dyDescent="0.6">
      <c r="A10" t="s">
        <v>4</v>
      </c>
      <c r="B10" s="1">
        <v>18305586</v>
      </c>
      <c r="C10" s="3">
        <v>333.8</v>
      </c>
      <c r="D10" s="3">
        <v>230</v>
      </c>
      <c r="E10" s="3">
        <f t="shared" si="2"/>
        <v>1484.6</v>
      </c>
      <c r="F10" s="3">
        <f t="shared" si="0"/>
        <v>81100.9273344213</v>
      </c>
    </row>
    <row r="11" spans="1:6" x14ac:dyDescent="0.6">
      <c r="A11" t="s">
        <v>5</v>
      </c>
      <c r="B11" s="1">
        <v>18305586</v>
      </c>
      <c r="C11" s="3">
        <v>558.1</v>
      </c>
      <c r="D11" s="3">
        <v>114</v>
      </c>
      <c r="E11" s="3">
        <f t="shared" si="2"/>
        <v>1867</v>
      </c>
      <c r="F11" s="3">
        <f t="shared" si="0"/>
        <v>101990.7256724805</v>
      </c>
    </row>
    <row r="12" spans="1:6" x14ac:dyDescent="0.6">
      <c r="A12" t="s">
        <v>6</v>
      </c>
      <c r="B12" s="1">
        <v>18305586</v>
      </c>
      <c r="C12" s="3">
        <v>400.4</v>
      </c>
      <c r="D12" s="3">
        <v>306</v>
      </c>
      <c r="E12" s="3">
        <f t="shared" si="2"/>
        <v>1692.7</v>
      </c>
      <c r="F12" s="3">
        <f t="shared" si="0"/>
        <v>92469.041963474971</v>
      </c>
    </row>
    <row r="13" spans="1:6" x14ac:dyDescent="0.6">
      <c r="A13" t="s">
        <v>7</v>
      </c>
      <c r="B13" s="1">
        <v>18305586</v>
      </c>
      <c r="C13" s="3">
        <v>416.5</v>
      </c>
      <c r="D13" s="3">
        <v>458</v>
      </c>
      <c r="E13" s="3">
        <f t="shared" si="2"/>
        <v>1791.5</v>
      </c>
      <c r="F13" s="3">
        <f t="shared" si="0"/>
        <v>97866.301575923339</v>
      </c>
    </row>
    <row r="14" spans="1:6" x14ac:dyDescent="0.6">
      <c r="A14" t="s">
        <v>8</v>
      </c>
      <c r="B14" s="1">
        <v>18305586</v>
      </c>
      <c r="C14">
        <v>268</v>
      </c>
      <c r="D14">
        <v>-428</v>
      </c>
      <c r="E14" s="3">
        <f t="shared" si="2"/>
        <v>1352.9</v>
      </c>
      <c r="F14" s="3">
        <f t="shared" si="0"/>
        <v>73906.402122281157</v>
      </c>
    </row>
    <row r="15" spans="1:6" x14ac:dyDescent="0.6">
      <c r="A15" t="s">
        <v>9</v>
      </c>
      <c r="B15" s="1">
        <v>18305586</v>
      </c>
      <c r="C15">
        <v>539</v>
      </c>
      <c r="D15">
        <v>332</v>
      </c>
      <c r="E15" s="3">
        <f t="shared" si="2"/>
        <v>1762.5</v>
      </c>
      <c r="F15" s="3">
        <f t="shared" si="0"/>
        <v>96282.085697775532</v>
      </c>
    </row>
    <row r="16" spans="1:6" x14ac:dyDescent="0.6">
      <c r="A16" t="s">
        <v>10</v>
      </c>
      <c r="B16" s="1">
        <v>18305586</v>
      </c>
      <c r="C16" s="1">
        <v>966</v>
      </c>
      <c r="D16" s="1">
        <v>676</v>
      </c>
      <c r="E16" s="3">
        <f t="shared" si="2"/>
        <v>2739</v>
      </c>
      <c r="F16" s="3">
        <f t="shared" si="0"/>
        <v>149626.45828437287</v>
      </c>
    </row>
    <row r="17" spans="1:6" x14ac:dyDescent="0.6">
      <c r="A17" t="s">
        <v>11</v>
      </c>
      <c r="B17" s="1">
        <v>18305586</v>
      </c>
      <c r="C17" s="1">
        <v>800</v>
      </c>
      <c r="D17" s="1">
        <v>695</v>
      </c>
      <c r="E17" s="3">
        <f t="shared" si="2"/>
        <v>3105</v>
      </c>
      <c r="F17" s="3">
        <f t="shared" si="0"/>
        <v>169620.35522927265</v>
      </c>
    </row>
    <row r="18" spans="1:6" x14ac:dyDescent="0.6">
      <c r="A18" t="s">
        <v>12</v>
      </c>
      <c r="B18" s="1">
        <v>18305586</v>
      </c>
      <c r="C18">
        <v>241</v>
      </c>
      <c r="D18">
        <v>-221</v>
      </c>
      <c r="E18" s="3">
        <f t="shared" si="2"/>
        <v>2248</v>
      </c>
      <c r="F18" s="3">
        <f t="shared" si="0"/>
        <v>122804.0446233188</v>
      </c>
    </row>
    <row r="19" spans="1:6" x14ac:dyDescent="0.6">
      <c r="A19" t="s">
        <v>13</v>
      </c>
      <c r="B19" s="1">
        <v>18305586</v>
      </c>
      <c r="C19">
        <v>630</v>
      </c>
      <c r="D19">
        <v>535</v>
      </c>
      <c r="E19" s="3">
        <f t="shared" si="2"/>
        <v>2301</v>
      </c>
      <c r="F19" s="3">
        <f t="shared" si="0"/>
        <v>125699.33571096823</v>
      </c>
    </row>
    <row r="20" spans="1:6" x14ac:dyDescent="0.6">
      <c r="A20" t="s">
        <v>14</v>
      </c>
      <c r="B20" s="1">
        <v>18305586</v>
      </c>
      <c r="C20">
        <v>367</v>
      </c>
      <c r="D20">
        <v>170</v>
      </c>
      <c r="E20" s="3">
        <f t="shared" si="2"/>
        <v>1605</v>
      </c>
      <c r="F20" s="3">
        <f t="shared" si="0"/>
        <v>87678.154635421117</v>
      </c>
    </row>
    <row r="21" spans="1:6" x14ac:dyDescent="0.6">
      <c r="A21" t="s">
        <v>15</v>
      </c>
      <c r="B21" s="1">
        <v>18305586</v>
      </c>
      <c r="C21" s="1">
        <v>467</v>
      </c>
      <c r="D21">
        <v>511</v>
      </c>
      <c r="E21" s="3">
        <f t="shared" si="2"/>
        <v>1931</v>
      </c>
      <c r="F21" s="3">
        <f t="shared" si="0"/>
        <v>105486.92623115152</v>
      </c>
    </row>
    <row r="22" spans="1:6" x14ac:dyDescent="0.6">
      <c r="A22" t="s">
        <v>16</v>
      </c>
      <c r="B22" s="1">
        <v>18305586</v>
      </c>
      <c r="C22">
        <v>-327</v>
      </c>
      <c r="D22" s="1">
        <v>-318</v>
      </c>
      <c r="E22" s="3">
        <f t="shared" si="2"/>
        <v>180</v>
      </c>
      <c r="F22" s="3">
        <f t="shared" si="0"/>
        <v>9833.0640712621826</v>
      </c>
    </row>
    <row r="23" spans="1:6" x14ac:dyDescent="0.6">
      <c r="A23" t="s">
        <v>17</v>
      </c>
      <c r="B23" s="1">
        <v>18305586</v>
      </c>
      <c r="C23">
        <v>430</v>
      </c>
      <c r="D23">
        <v>332</v>
      </c>
      <c r="E23" s="3">
        <f t="shared" si="2"/>
        <v>1000</v>
      </c>
      <c r="F23" s="3">
        <f t="shared" si="0"/>
        <v>54628.133729234338</v>
      </c>
    </row>
    <row r="24" spans="1:6" x14ac:dyDescent="0.6">
      <c r="A24" t="s">
        <v>18</v>
      </c>
      <c r="B24" s="1">
        <v>18305586</v>
      </c>
      <c r="C24">
        <v>707</v>
      </c>
      <c r="D24" s="1">
        <v>655</v>
      </c>
      <c r="E24" s="3">
        <f t="shared" si="2"/>
        <v>1517</v>
      </c>
      <c r="F24" s="3">
        <f t="shared" si="0"/>
        <v>82870.87886724851</v>
      </c>
    </row>
    <row r="25" spans="1:6" x14ac:dyDescent="0.6">
      <c r="A25" t="s">
        <v>19</v>
      </c>
      <c r="B25" s="1">
        <v>18305586</v>
      </c>
      <c r="C25" s="1">
        <v>797</v>
      </c>
      <c r="D25" s="1">
        <v>594</v>
      </c>
      <c r="E25" s="3">
        <f t="shared" si="2"/>
        <v>2731</v>
      </c>
      <c r="F25" s="3">
        <f t="shared" si="0"/>
        <v>149189.43321453899</v>
      </c>
    </row>
    <row r="26" spans="1:6" x14ac:dyDescent="0.6">
      <c r="A26" t="s">
        <v>20</v>
      </c>
      <c r="B26" s="1">
        <v>18305586</v>
      </c>
      <c r="C26" s="1">
        <v>85</v>
      </c>
      <c r="D26">
        <v>-171</v>
      </c>
      <c r="E26" s="3">
        <f t="shared" si="2"/>
        <v>1674</v>
      </c>
      <c r="F26" s="3">
        <f t="shared" si="0"/>
        <v>91447.495862738288</v>
      </c>
    </row>
    <row r="27" spans="1:6" x14ac:dyDescent="0.6">
      <c r="A27" t="s">
        <v>21</v>
      </c>
      <c r="B27" s="1">
        <v>18305586</v>
      </c>
      <c r="C27" s="1">
        <v>263</v>
      </c>
      <c r="D27">
        <v>53</v>
      </c>
      <c r="E27" s="3">
        <f t="shared" si="2"/>
        <v>1408</v>
      </c>
      <c r="F27" s="3">
        <f t="shared" si="0"/>
        <v>76916.41229076196</v>
      </c>
    </row>
    <row r="28" spans="1:6" x14ac:dyDescent="0.6">
      <c r="A28" t="s">
        <v>22</v>
      </c>
      <c r="B28" s="1">
        <v>18305586</v>
      </c>
      <c r="C28" s="1">
        <v>420</v>
      </c>
      <c r="D28">
        <v>191</v>
      </c>
      <c r="F28" s="2"/>
    </row>
    <row r="29" spans="1:6" x14ac:dyDescent="0.6">
      <c r="A29" t="s">
        <v>23</v>
      </c>
      <c r="B29" s="1">
        <v>18305586</v>
      </c>
      <c r="C29" s="1">
        <v>107</v>
      </c>
      <c r="D29">
        <v>12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HD건설기계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2025-01-29T07:11:20Z</dcterms:created>
  <dcterms:modified xsi:type="dcterms:W3CDTF">2026-08-05T23:42:37Z</dcterms:modified>
</cp:coreProperties>
</file>