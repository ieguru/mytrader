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56DF778-D7F4-493B-B0DD-290912644468}" xr6:coauthVersionLast="47" xr6:coauthVersionMax="47" xr10:uidLastSave="{00000000-0000-0000-0000-000000000000}"/>
  <bookViews>
    <workbookView xWindow="28702" yWindow="-98" windowWidth="28995" windowHeight="16395" xr2:uid="{D3AF1327-C308-42CF-AFA5-FE59593F7F78}"/>
  </bookViews>
  <sheets>
    <sheet name="코미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F24" i="1" s="1"/>
  <c r="E25" i="1"/>
  <c r="F25" i="1" s="1"/>
  <c r="E26" i="1"/>
  <c r="F26" i="1" s="1"/>
  <c r="E27" i="1"/>
  <c r="F27" i="1" s="1"/>
  <c r="E4" i="1"/>
  <c r="E3" i="1"/>
  <c r="E2" i="1"/>
  <c r="F2" i="1" s="1"/>
  <c r="F16" i="1"/>
  <c r="F19" i="1"/>
  <c r="F20" i="1"/>
  <c r="F21" i="1"/>
  <c r="F22" i="1"/>
  <c r="F23" i="1"/>
  <c r="F3" i="1"/>
  <c r="F6" i="1"/>
  <c r="F7" i="1"/>
  <c r="F8" i="1"/>
  <c r="F9" i="1"/>
  <c r="F10" i="1"/>
  <c r="F11" i="1"/>
  <c r="F12" i="1"/>
  <c r="F13" i="1"/>
  <c r="F14" i="1"/>
  <c r="F15" i="1"/>
  <c r="F17" i="1"/>
  <c r="F18" i="1"/>
  <c r="F5" i="1"/>
  <c r="F4" i="1"/>
</calcChain>
</file>

<file path=xl/sharedStrings.xml><?xml version="1.0" encoding="utf-8"?>
<sst xmlns="http://schemas.openxmlformats.org/spreadsheetml/2006/main" count="34" uniqueCount="33">
  <si>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</si>
  <si>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</si>
  <si>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</si>
  <si>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</si>
  <si>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</si>
  <si>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</si>
  <si>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</si>
  <si>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</si>
  <si>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</si>
  <si>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</si>
  <si>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</si>
  <si>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</si>
  <si>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</si>
  <si>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</si>
  <si>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</si>
  <si>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</si>
  <si>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</si>
  <si>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</si>
  <si>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</si>
  <si>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</si>
  <si>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</si>
  <si>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</si>
  <si>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</si>
  <si>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</si>
  <si>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</si>
  <si>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</si>
  <si>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</si>
  <si>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</si>
  <si>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2026.2Q</t>
    <phoneticPr fontId="18" type="noConversion"/>
  </si>
  <si>
    <t>2026.1Q</t>
    <phoneticPr fontId="18" type="noConversion"/>
  </si>
  <si>
    <t>2025.4Q</t>
  </si>
  <si>
    <t>2025.3Q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</si>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</sst>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14" fillId="0" borderId="0" xfId="42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9"/>
  <sheetViews>
    <sheetView tabSelected="1" workbookViewId="0">
      <selection activeCell="F2" sqref="F2:F27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32</v>
      </c>
      <c r="B2" s="1">
        <v>20545310</v>
      </c>
      <c r="C2" s="3">
        <v>355</v>
      </c>
      <c r="D2" s="3">
        <v>300</v>
      </c>
      <c r="E2" s="4">
        <f>(C2*2+C3*2)</f>
        <v>1390</v>
      </c>
      <c r="F2" s="4">
        <f>E2*100000000/B2*20</f>
        <v>135310.68647783849</v>
      </c>
    </row>
    <row r="3" spans="1:6" x14ac:dyDescent="0.6">
      <c r="A3" t="s">
        <v>32</v>
      </c>
      <c r="B3" s="1">
        <v>20545310</v>
      </c>
      <c r="C3" s="3">
        <v>340</v>
      </c>
      <c r="D3" s="3">
        <v>300</v>
      </c>
      <c r="E3" s="4">
        <f>(C3*2+C2*2)</f>
        <v>1390</v>
      </c>
      <c r="F3" s="4">
        <f>E3*100000000/B3*20</f>
        <v>135310.68647783849</v>
      </c>
    </row>
    <row r="4" spans="1:6" x14ac:dyDescent="0.6">
      <c r="A4" t="s">
        <v>28</v>
      </c>
      <c r="B4" s="1">
        <v>20545310</v>
      </c>
      <c r="C4" s="3">
        <v>300</v>
      </c>
      <c r="D4" s="3">
        <v>250</v>
      </c>
      <c r="E4" s="4">
        <f>(C3+C4*2+C2)</f>
        <v>1295</v>
      </c>
      <c r="F4" s="4">
        <f t="shared" ref="F4:F27" si="0">E4*100000000/B4*20</f>
        <v>126062.83380489271</v>
      </c>
    </row>
    <row r="5" spans="1:6" x14ac:dyDescent="0.6">
      <c r="A5" t="s">
        <v>29</v>
      </c>
      <c r="B5" s="1">
        <v>20545310</v>
      </c>
      <c r="C5" s="3">
        <v>237</v>
      </c>
      <c r="D5" s="3">
        <v>205</v>
      </c>
      <c r="E5" s="4">
        <f t="shared" ref="E5:E27" si="1">(C4+C5*2+C3)</f>
        <v>1114</v>
      </c>
      <c r="F5" s="4">
        <f t="shared" si="0"/>
        <v>108443.24081749072</v>
      </c>
    </row>
    <row r="6" spans="1:6" x14ac:dyDescent="0.6">
      <c r="A6" t="s">
        <v>30</v>
      </c>
      <c r="B6" s="1">
        <v>20545310</v>
      </c>
      <c r="C6" s="4">
        <v>258</v>
      </c>
      <c r="D6" s="4">
        <v>146</v>
      </c>
      <c r="E6" s="4">
        <f t="shared" si="1"/>
        <v>1053</v>
      </c>
      <c r="F6" s="4">
        <f t="shared" si="0"/>
        <v>102505.14594328341</v>
      </c>
    </row>
    <row r="7" spans="1:6" x14ac:dyDescent="0.6">
      <c r="A7" t="s">
        <v>31</v>
      </c>
      <c r="B7" s="1">
        <v>20545310</v>
      </c>
      <c r="C7" s="4">
        <v>302</v>
      </c>
      <c r="D7" s="4">
        <v>215</v>
      </c>
      <c r="E7" s="4">
        <f t="shared" si="1"/>
        <v>1099</v>
      </c>
      <c r="F7" s="4">
        <f t="shared" si="0"/>
        <v>106983.05355334138</v>
      </c>
    </row>
    <row r="8" spans="1:6" x14ac:dyDescent="0.6">
      <c r="A8" t="s">
        <v>6</v>
      </c>
      <c r="B8" s="1">
        <v>20545310</v>
      </c>
      <c r="C8" s="4">
        <v>313</v>
      </c>
      <c r="D8" s="4">
        <v>207</v>
      </c>
      <c r="E8" s="4">
        <f t="shared" si="1"/>
        <v>1186</v>
      </c>
      <c r="F8" s="4">
        <f t="shared" si="0"/>
        <v>115452.13968540753</v>
      </c>
    </row>
    <row r="9" spans="1:6" x14ac:dyDescent="0.6">
      <c r="A9" t="s">
        <v>7</v>
      </c>
      <c r="B9" s="1">
        <v>20545310</v>
      </c>
      <c r="C9" s="4">
        <v>188</v>
      </c>
      <c r="D9" s="4">
        <v>275</v>
      </c>
      <c r="E9" s="4">
        <f t="shared" si="1"/>
        <v>991</v>
      </c>
      <c r="F9" s="4">
        <f t="shared" si="0"/>
        <v>96469.705251466148</v>
      </c>
    </row>
    <row r="10" spans="1:6" x14ac:dyDescent="0.6">
      <c r="A10" t="s">
        <v>8</v>
      </c>
      <c r="B10" s="1">
        <v>20545310</v>
      </c>
      <c r="C10" s="4">
        <v>290</v>
      </c>
      <c r="D10" s="4">
        <v>183</v>
      </c>
      <c r="E10" s="4">
        <f t="shared" si="1"/>
        <v>1081</v>
      </c>
      <c r="F10" s="4">
        <f t="shared" si="0"/>
        <v>105230.82883636217</v>
      </c>
    </row>
    <row r="11" spans="1:6" x14ac:dyDescent="0.6">
      <c r="A11" t="s">
        <v>9</v>
      </c>
      <c r="B11" s="1">
        <v>20545310</v>
      </c>
      <c r="C11" s="4">
        <v>369</v>
      </c>
      <c r="D11" s="4">
        <v>220</v>
      </c>
      <c r="E11" s="4">
        <f t="shared" si="1"/>
        <v>1216</v>
      </c>
      <c r="F11" s="4">
        <f t="shared" si="0"/>
        <v>118372.51421370619</v>
      </c>
    </row>
    <row r="12" spans="1:6" x14ac:dyDescent="0.6">
      <c r="A12" t="s">
        <v>10</v>
      </c>
      <c r="B12" s="1">
        <v>20545310</v>
      </c>
      <c r="C12" s="4">
        <v>278</v>
      </c>
      <c r="D12" s="4">
        <v>200</v>
      </c>
      <c r="E12" s="4">
        <f t="shared" si="1"/>
        <v>1215</v>
      </c>
      <c r="F12" s="4">
        <f t="shared" si="0"/>
        <v>118275.16839609624</v>
      </c>
    </row>
    <row r="13" spans="1:6" x14ac:dyDescent="0.6">
      <c r="A13" t="s">
        <v>11</v>
      </c>
      <c r="B13" s="1">
        <v>20545310</v>
      </c>
      <c r="C13" s="4">
        <v>82</v>
      </c>
      <c r="D13" s="4">
        <v>235</v>
      </c>
      <c r="E13" s="4">
        <f t="shared" si="1"/>
        <v>811</v>
      </c>
      <c r="F13" s="4">
        <f t="shared" si="0"/>
        <v>78947.458081674107</v>
      </c>
    </row>
    <row r="14" spans="1:6" x14ac:dyDescent="0.6">
      <c r="A14" t="s">
        <v>12</v>
      </c>
      <c r="B14" s="1">
        <v>20545310</v>
      </c>
      <c r="C14" s="4">
        <v>116</v>
      </c>
      <c r="D14" s="4">
        <v>96</v>
      </c>
      <c r="E14" s="4">
        <f t="shared" si="1"/>
        <v>592</v>
      </c>
      <c r="F14" s="4">
        <f t="shared" si="0"/>
        <v>57628.724025093805</v>
      </c>
    </row>
    <row r="15" spans="1:6" x14ac:dyDescent="0.6">
      <c r="A15" t="s">
        <v>13</v>
      </c>
      <c r="B15" s="1">
        <v>20545310</v>
      </c>
      <c r="C15" s="4">
        <v>65</v>
      </c>
      <c r="D15" s="4">
        <v>77</v>
      </c>
      <c r="E15" s="4">
        <f t="shared" si="1"/>
        <v>328</v>
      </c>
      <c r="F15" s="4">
        <f t="shared" si="0"/>
        <v>31929.428176065485</v>
      </c>
    </row>
    <row r="16" spans="1:6" x14ac:dyDescent="0.6">
      <c r="A16" t="s">
        <v>14</v>
      </c>
      <c r="B16" s="1">
        <v>20545310</v>
      </c>
      <c r="C16" s="4">
        <v>68</v>
      </c>
      <c r="D16" s="4">
        <v>46</v>
      </c>
      <c r="E16" s="4">
        <f t="shared" si="1"/>
        <v>317</v>
      </c>
      <c r="F16" s="4">
        <f t="shared" si="0"/>
        <v>30858.624182355976</v>
      </c>
    </row>
    <row r="17" spans="1:6" x14ac:dyDescent="0.6">
      <c r="A17" t="s">
        <v>15</v>
      </c>
      <c r="B17" s="1">
        <v>20545310</v>
      </c>
      <c r="C17" s="4">
        <v>70</v>
      </c>
      <c r="D17" s="4">
        <v>52</v>
      </c>
      <c r="E17" s="4">
        <f t="shared" si="1"/>
        <v>273</v>
      </c>
      <c r="F17" s="4">
        <f t="shared" si="0"/>
        <v>26575.408207517921</v>
      </c>
    </row>
    <row r="18" spans="1:6" x14ac:dyDescent="0.6">
      <c r="A18" t="s">
        <v>16</v>
      </c>
      <c r="B18" s="1">
        <v>20545310</v>
      </c>
      <c r="C18" s="2">
        <v>161</v>
      </c>
      <c r="D18" s="2">
        <v>139</v>
      </c>
      <c r="E18" s="4">
        <f t="shared" si="1"/>
        <v>460</v>
      </c>
      <c r="F18" s="4">
        <f t="shared" si="0"/>
        <v>44779.076100579638</v>
      </c>
    </row>
    <row r="19" spans="1:6" x14ac:dyDescent="0.6">
      <c r="A19" t="s">
        <v>17</v>
      </c>
      <c r="B19" s="1">
        <v>20545310</v>
      </c>
      <c r="C19" s="2">
        <v>158</v>
      </c>
      <c r="D19" s="2">
        <v>100</v>
      </c>
      <c r="E19" s="4">
        <f t="shared" si="1"/>
        <v>547</v>
      </c>
      <c r="F19" s="4">
        <f t="shared" si="0"/>
        <v>53248.162232645802</v>
      </c>
    </row>
    <row r="20" spans="1:6" x14ac:dyDescent="0.6">
      <c r="A20" t="s">
        <v>18</v>
      </c>
      <c r="B20" s="1">
        <v>20545310</v>
      </c>
      <c r="C20" s="2">
        <v>166</v>
      </c>
      <c r="D20" s="2">
        <v>129</v>
      </c>
      <c r="E20" s="4">
        <f t="shared" si="1"/>
        <v>651</v>
      </c>
      <c r="F20" s="4">
        <f t="shared" si="0"/>
        <v>63372.127264081195</v>
      </c>
    </row>
    <row r="21" spans="1:6" x14ac:dyDescent="0.6">
      <c r="A21" t="s">
        <v>19</v>
      </c>
      <c r="B21" s="1">
        <v>20545310</v>
      </c>
      <c r="C21" s="2">
        <v>138</v>
      </c>
      <c r="D21" s="2">
        <v>134</v>
      </c>
      <c r="E21" s="4">
        <f t="shared" si="1"/>
        <v>600</v>
      </c>
      <c r="F21" s="4">
        <f t="shared" si="0"/>
        <v>58407.49056597345</v>
      </c>
    </row>
    <row r="22" spans="1:6" x14ac:dyDescent="0.6">
      <c r="A22" t="s">
        <v>20</v>
      </c>
      <c r="B22" s="1">
        <v>20545310</v>
      </c>
      <c r="C22" s="2">
        <v>150</v>
      </c>
      <c r="D22" s="2">
        <v>108</v>
      </c>
      <c r="E22" s="4">
        <f t="shared" si="1"/>
        <v>604</v>
      </c>
      <c r="F22" s="4">
        <f t="shared" si="0"/>
        <v>58796.873836413273</v>
      </c>
    </row>
    <row r="23" spans="1:6" x14ac:dyDescent="0.6">
      <c r="A23" t="s">
        <v>21</v>
      </c>
      <c r="B23" s="1">
        <v>20545310</v>
      </c>
      <c r="C23" s="2">
        <v>163</v>
      </c>
      <c r="D23" s="2">
        <v>127</v>
      </c>
      <c r="E23" s="4">
        <f t="shared" si="1"/>
        <v>614</v>
      </c>
      <c r="F23" s="4">
        <f t="shared" si="0"/>
        <v>59770.332012512838</v>
      </c>
    </row>
    <row r="24" spans="1:6" x14ac:dyDescent="0.6">
      <c r="A24" t="s">
        <v>22</v>
      </c>
      <c r="B24" s="1">
        <v>20545310</v>
      </c>
      <c r="C24" s="2">
        <v>317</v>
      </c>
      <c r="D24" s="2">
        <v>250</v>
      </c>
      <c r="E24" s="4">
        <f t="shared" si="1"/>
        <v>947</v>
      </c>
      <c r="F24" s="4">
        <f t="shared" si="0"/>
        <v>92186.489276628097</v>
      </c>
    </row>
    <row r="25" spans="1:6" x14ac:dyDescent="0.6">
      <c r="A25" t="s">
        <v>23</v>
      </c>
      <c r="B25" s="1">
        <v>20545310</v>
      </c>
      <c r="C25" s="2">
        <v>249</v>
      </c>
      <c r="D25" s="2">
        <v>215</v>
      </c>
      <c r="E25" s="4">
        <f t="shared" si="1"/>
        <v>978</v>
      </c>
      <c r="F25" s="4">
        <f t="shared" si="0"/>
        <v>95204.209622536728</v>
      </c>
    </row>
    <row r="26" spans="1:6" x14ac:dyDescent="0.6">
      <c r="A26" t="s">
        <v>24</v>
      </c>
      <c r="B26" s="1">
        <v>20545310</v>
      </c>
      <c r="C26" s="2">
        <v>17</v>
      </c>
      <c r="D26" s="2">
        <v>-25</v>
      </c>
      <c r="E26" s="4">
        <f t="shared" si="1"/>
        <v>600</v>
      </c>
      <c r="F26" s="4">
        <f t="shared" si="0"/>
        <v>58407.49056597345</v>
      </c>
    </row>
    <row r="27" spans="1:6" x14ac:dyDescent="0.6">
      <c r="A27" t="s">
        <v>25</v>
      </c>
      <c r="B27" s="1">
        <v>20545310</v>
      </c>
      <c r="C27" s="2">
        <v>46</v>
      </c>
      <c r="D27" s="2">
        <v>30</v>
      </c>
      <c r="E27" s="4">
        <f t="shared" si="1"/>
        <v>358</v>
      </c>
      <c r="F27" s="4">
        <f t="shared" si="0"/>
        <v>34849.802704364163</v>
      </c>
    </row>
    <row r="28" spans="1:6" x14ac:dyDescent="0.6">
      <c r="A28" t="s">
        <v>26</v>
      </c>
      <c r="B28" s="1">
        <v>20545310</v>
      </c>
      <c r="C28" s="2">
        <v>79</v>
      </c>
      <c r="D28" s="2">
        <v>61</v>
      </c>
      <c r="F28" s="2"/>
    </row>
    <row r="29" spans="1:6" x14ac:dyDescent="0.6">
      <c r="A29" t="s">
        <v>27</v>
      </c>
      <c r="B29" s="1">
        <v>20545310</v>
      </c>
      <c r="C29" s="2">
        <v>173</v>
      </c>
      <c r="D29" s="2">
        <v>157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코미코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2026-05-31T23:38:34Z</dcterms:modified>
</cp:coreProperties>
</file>