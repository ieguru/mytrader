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0E18CBEF-EE3C-4463-8D63-48F6DD4EB319}" xr6:coauthVersionLast="47" xr6:coauthVersionMax="47" xr10:uidLastSave="{00000000-0000-0000-0000-000000000000}"/>
  <bookViews>
    <workbookView xWindow="-98" yWindow="-98" windowWidth="28996" windowHeight="15675" xr2:uid="{20458A90-AA7A-468A-9564-B848874231C8}"/>
  </bookViews>
  <sheets>
    <sheet name="한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E16" i="1"/>
  <c r="E17" i="1"/>
  <c r="E18" i="1"/>
  <c r="E19" i="1"/>
  <c r="E20" i="1"/>
  <c r="E21" i="1"/>
  <c r="E22" i="1"/>
  <c r="E23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<sst xmlns="http://schemas.openxmlformats.org/spreadsheetml/2006/main" count="28" uniqueCount="28">
  <si>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</si>
  <si>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</si>
  <si>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</si>
  <si>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</si>
  <si>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</si>
  <si>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</si>
  <si>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</si>
  <si>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</si>
  <si>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</si>
  <si>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</si>
  <si>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</si>
  <si>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</si>
  <si>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</si>
  <si>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</si>
  <si>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</si>
  <si>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</si>
  <si>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</si>
  <si>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</si>
  <si>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</si>
  <si>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</si>
  <si>
    <t>4Q_income</t>
  </si>
  <si>
    <t>목표가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</si>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</sst>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41" fontId="0" fillId="0" borderId="0" xfId="42" applyFont="1">
      <alignment vertical="center"/>
    </xf>
    <xf numFmtId="4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8"/>
  <sheetViews>
    <sheetView tabSelected="1" workbookViewId="0">
      <selection activeCell="F2" sqref="F2"/>
    </sheetView>
  </sheetViews>
  <sheetFormatPr defaultRowHeight="16.899999999999999" x14ac:dyDescent="0.6"/>
  <cols>
    <col min="2" max="2" width="11.375" bestFit="1" customWidth="1"/>
    <col min="6" max="6" width="11.1875" customWidth="1"/>
  </cols>
  <sheetData>
    <row r="1" spans="1:6" x14ac:dyDescent="0.6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21</v>
      </c>
    </row>
    <row r="2" spans="1:6" x14ac:dyDescent="0.6">
      <c r="A2" s="3" t="s">
        <v>27</v>
      </c>
      <c r="B2" s="1">
        <v>21476994</v>
      </c>
      <c r="C2" s="6">
        <v>125</v>
      </c>
      <c r="D2">
        <v>123</v>
      </c>
      <c r="E2" s="5">
        <f>(C2*2+C3*2)</f>
        <v>456</v>
      </c>
      <c r="F2" s="5">
        <f>E2*100000000/B2*10</f>
        <v>21232.021576203821</v>
      </c>
    </row>
    <row r="3" spans="1:6" x14ac:dyDescent="0.6">
      <c r="A3" s="3" t="s">
        <v>22</v>
      </c>
      <c r="B3" s="1">
        <v>21476994</v>
      </c>
      <c r="C3" s="1">
        <v>103</v>
      </c>
      <c r="D3">
        <v>87</v>
      </c>
      <c r="E3" s="5">
        <f>(C3*2+C2*2)</f>
        <v>456</v>
      </c>
      <c r="F3" s="5">
        <f t="shared" ref="F3:F23" si="0">E3*100000000/B3*10</f>
        <v>21232.021576203821</v>
      </c>
    </row>
    <row r="4" spans="1:6" x14ac:dyDescent="0.6">
      <c r="A4" s="3" t="s">
        <v>23</v>
      </c>
      <c r="B4" s="1">
        <v>21476994</v>
      </c>
      <c r="C4" s="1">
        <v>345</v>
      </c>
      <c r="D4" s="1">
        <v>275</v>
      </c>
      <c r="E4" s="5">
        <f>(C4+C3*2+C2)</f>
        <v>676</v>
      </c>
      <c r="F4" s="5">
        <f t="shared" si="0"/>
        <v>31475.540757705661</v>
      </c>
    </row>
    <row r="5" spans="1:6" x14ac:dyDescent="0.6">
      <c r="A5" s="4" t="s">
        <v>24</v>
      </c>
      <c r="B5" s="1">
        <v>21476994</v>
      </c>
      <c r="C5" s="1">
        <v>272</v>
      </c>
      <c r="D5" s="1">
        <v>236</v>
      </c>
      <c r="E5" s="5">
        <f t="shared" ref="E5:E23" si="1">(C5+C4*2+C3)</f>
        <v>1065</v>
      </c>
      <c r="F5" s="5">
        <f t="shared" si="0"/>
        <v>49587.945128633917</v>
      </c>
    </row>
    <row r="6" spans="1:6" x14ac:dyDescent="0.6">
      <c r="A6" s="3" t="s">
        <v>25</v>
      </c>
      <c r="B6" s="1">
        <v>21476994</v>
      </c>
      <c r="C6" s="1">
        <v>25</v>
      </c>
      <c r="D6" s="1">
        <v>18</v>
      </c>
      <c r="E6" s="5">
        <f t="shared" si="1"/>
        <v>914</v>
      </c>
      <c r="F6" s="5">
        <f t="shared" si="0"/>
        <v>42557.166054057663</v>
      </c>
    </row>
    <row r="7" spans="1:6" x14ac:dyDescent="0.6">
      <c r="A7" s="3" t="s">
        <v>26</v>
      </c>
      <c r="B7" s="1">
        <v>21476994</v>
      </c>
      <c r="C7" s="1">
        <v>7</v>
      </c>
      <c r="D7" s="1">
        <v>25</v>
      </c>
      <c r="E7" s="5">
        <f t="shared" si="1"/>
        <v>329</v>
      </c>
      <c r="F7" s="5">
        <f t="shared" si="0"/>
        <v>15318.717321427757</v>
      </c>
    </row>
    <row r="8" spans="1:6" x14ac:dyDescent="0.6">
      <c r="A8" s="3" t="s">
        <v>3</v>
      </c>
      <c r="B8" s="1">
        <v>21476994</v>
      </c>
      <c r="C8" s="1">
        <v>218</v>
      </c>
      <c r="D8" s="1">
        <v>184</v>
      </c>
      <c r="E8" s="5">
        <f t="shared" si="1"/>
        <v>257</v>
      </c>
      <c r="F8" s="5">
        <f t="shared" si="0"/>
        <v>11966.292862027152</v>
      </c>
    </row>
    <row r="9" spans="1:6" x14ac:dyDescent="0.6">
      <c r="A9" s="3" t="s">
        <v>4</v>
      </c>
      <c r="B9" s="1">
        <v>21476994</v>
      </c>
      <c r="C9" s="1">
        <v>209</v>
      </c>
      <c r="D9" s="1">
        <v>130</v>
      </c>
      <c r="E9" s="5">
        <f t="shared" si="1"/>
        <v>652</v>
      </c>
      <c r="F9" s="5">
        <f t="shared" si="0"/>
        <v>30358.065937905463</v>
      </c>
    </row>
    <row r="10" spans="1:6" x14ac:dyDescent="0.6">
      <c r="A10" s="3" t="s">
        <v>5</v>
      </c>
      <c r="B10" s="1">
        <v>21476994</v>
      </c>
      <c r="C10" s="1">
        <v>60</v>
      </c>
      <c r="D10" s="1">
        <v>50</v>
      </c>
      <c r="E10" s="5">
        <f t="shared" si="1"/>
        <v>696</v>
      </c>
      <c r="F10" s="5">
        <f t="shared" si="0"/>
        <v>32406.76977420583</v>
      </c>
    </row>
    <row r="11" spans="1:6" x14ac:dyDescent="0.6">
      <c r="A11" s="3" t="s">
        <v>6</v>
      </c>
      <c r="B11" s="1">
        <v>21476994</v>
      </c>
      <c r="C11" s="1">
        <v>41</v>
      </c>
      <c r="D11" s="1">
        <v>17</v>
      </c>
      <c r="E11" s="5">
        <f t="shared" si="1"/>
        <v>370</v>
      </c>
      <c r="F11" s="5">
        <f t="shared" si="0"/>
        <v>17227.736805253102</v>
      </c>
    </row>
    <row r="12" spans="1:6" x14ac:dyDescent="0.6">
      <c r="A12" s="3" t="s">
        <v>7</v>
      </c>
      <c r="B12" s="1">
        <v>21476994</v>
      </c>
      <c r="C12" s="1">
        <v>325</v>
      </c>
      <c r="D12" s="1">
        <v>237</v>
      </c>
      <c r="E12" s="5">
        <f t="shared" si="1"/>
        <v>467</v>
      </c>
      <c r="F12" s="5">
        <f t="shared" si="0"/>
        <v>21744.197535278912</v>
      </c>
    </row>
    <row r="13" spans="1:6" x14ac:dyDescent="0.6">
      <c r="A13" s="3" t="s">
        <v>8</v>
      </c>
      <c r="B13" s="1">
        <v>21476994</v>
      </c>
      <c r="C13" s="1">
        <v>316</v>
      </c>
      <c r="D13" s="1">
        <v>227</v>
      </c>
      <c r="E13" s="5">
        <f t="shared" si="1"/>
        <v>1007</v>
      </c>
      <c r="F13" s="5">
        <f t="shared" si="0"/>
        <v>46887.380980783433</v>
      </c>
    </row>
    <row r="14" spans="1:6" x14ac:dyDescent="0.6">
      <c r="A14" s="3" t="s">
        <v>9</v>
      </c>
      <c r="B14" s="1">
        <v>21476994</v>
      </c>
      <c r="C14" s="1">
        <v>88</v>
      </c>
      <c r="D14" s="1">
        <v>54</v>
      </c>
      <c r="E14" s="5">
        <f t="shared" si="1"/>
        <v>1045</v>
      </c>
      <c r="F14" s="5">
        <f t="shared" si="0"/>
        <v>48656.716112133756</v>
      </c>
    </row>
    <row r="15" spans="1:6" x14ac:dyDescent="0.6">
      <c r="A15" t="s">
        <v>10</v>
      </c>
      <c r="B15" s="1">
        <v>21476994</v>
      </c>
      <c r="C15" s="1">
        <v>58</v>
      </c>
      <c r="D15" s="1">
        <v>86</v>
      </c>
      <c r="E15" s="5">
        <f t="shared" si="1"/>
        <v>550</v>
      </c>
      <c r="F15" s="5">
        <f t="shared" si="0"/>
        <v>25608.797953754605</v>
      </c>
    </row>
    <row r="16" spans="1:6" x14ac:dyDescent="0.6">
      <c r="A16" t="s">
        <v>11</v>
      </c>
      <c r="B16" s="1">
        <v>21476994</v>
      </c>
      <c r="C16" s="1">
        <v>543</v>
      </c>
      <c r="D16" s="1">
        <v>443</v>
      </c>
      <c r="E16" s="5">
        <f t="shared" si="1"/>
        <v>747</v>
      </c>
      <c r="F16" s="5">
        <f t="shared" si="0"/>
        <v>34781.403766281263</v>
      </c>
    </row>
    <row r="17" spans="1:6" x14ac:dyDescent="0.6">
      <c r="A17" t="s">
        <v>12</v>
      </c>
      <c r="B17" s="1">
        <v>21476994</v>
      </c>
      <c r="C17" s="1">
        <v>492</v>
      </c>
      <c r="D17" s="1">
        <v>393</v>
      </c>
      <c r="E17" s="5">
        <f t="shared" si="1"/>
        <v>1636</v>
      </c>
      <c r="F17" s="5">
        <f t="shared" si="0"/>
        <v>76174.533549713698</v>
      </c>
    </row>
    <row r="18" spans="1:6" x14ac:dyDescent="0.6">
      <c r="A18" t="s">
        <v>13</v>
      </c>
      <c r="B18" s="1">
        <v>21476994</v>
      </c>
      <c r="C18" s="1">
        <v>326</v>
      </c>
      <c r="D18" s="1">
        <v>209</v>
      </c>
      <c r="E18" s="5">
        <f t="shared" si="1"/>
        <v>1853</v>
      </c>
      <c r="F18" s="5">
        <f t="shared" si="0"/>
        <v>86278.368378740532</v>
      </c>
    </row>
    <row r="19" spans="1:6" x14ac:dyDescent="0.6">
      <c r="A19" t="s">
        <v>14</v>
      </c>
      <c r="B19" s="1">
        <v>21476994</v>
      </c>
      <c r="C19" s="1">
        <v>274</v>
      </c>
      <c r="D19" s="1">
        <v>177</v>
      </c>
      <c r="E19" s="5">
        <f t="shared" si="1"/>
        <v>1418</v>
      </c>
      <c r="F19" s="5">
        <f t="shared" si="0"/>
        <v>66024.13726986188</v>
      </c>
    </row>
    <row r="20" spans="1:6" x14ac:dyDescent="0.6">
      <c r="A20" t="s">
        <v>15</v>
      </c>
      <c r="B20" s="1">
        <v>21476994</v>
      </c>
      <c r="C20" s="1">
        <v>591</v>
      </c>
      <c r="D20" s="1">
        <v>428</v>
      </c>
      <c r="E20" s="5">
        <f t="shared" si="1"/>
        <v>1465</v>
      </c>
      <c r="F20" s="5">
        <f t="shared" si="0"/>
        <v>68212.525458637276</v>
      </c>
    </row>
    <row r="21" spans="1:6" x14ac:dyDescent="0.6">
      <c r="A21" t="s">
        <v>16</v>
      </c>
      <c r="B21" s="1">
        <v>21476994</v>
      </c>
      <c r="C21" s="1">
        <v>517</v>
      </c>
      <c r="D21" s="1">
        <v>377</v>
      </c>
      <c r="E21" s="5">
        <f t="shared" si="1"/>
        <v>1973</v>
      </c>
      <c r="F21" s="5">
        <f t="shared" si="0"/>
        <v>91865.742477741529</v>
      </c>
    </row>
    <row r="22" spans="1:6" x14ac:dyDescent="0.6">
      <c r="A22" t="s">
        <v>17</v>
      </c>
      <c r="B22" s="1">
        <v>21476994</v>
      </c>
      <c r="C22" s="1">
        <v>318</v>
      </c>
      <c r="D22" s="1">
        <v>226</v>
      </c>
      <c r="E22" s="5">
        <f t="shared" si="1"/>
        <v>1943</v>
      </c>
      <c r="F22" s="5">
        <f t="shared" si="0"/>
        <v>90468.89895299128</v>
      </c>
    </row>
    <row r="23" spans="1:6" x14ac:dyDescent="0.6">
      <c r="A23" t="s">
        <v>18</v>
      </c>
      <c r="B23" s="1">
        <v>21476994</v>
      </c>
      <c r="C23" s="1">
        <v>235</v>
      </c>
      <c r="D23" s="1">
        <v>187</v>
      </c>
      <c r="E23" s="5">
        <f t="shared" si="1"/>
        <v>1388</v>
      </c>
      <c r="F23" s="5">
        <f t="shared" si="0"/>
        <v>64627.29374511163</v>
      </c>
    </row>
    <row r="24" spans="1:6" x14ac:dyDescent="0.6">
      <c r="B24" s="1"/>
      <c r="C24" s="1"/>
      <c r="D24" s="1"/>
      <c r="E24" s="5"/>
      <c r="F24" s="5"/>
    </row>
    <row r="25" spans="1:6" x14ac:dyDescent="0.6">
      <c r="B25" s="1"/>
      <c r="C25" s="1"/>
      <c r="D25" s="1"/>
      <c r="E25" s="5"/>
      <c r="F25" s="5"/>
    </row>
    <row r="26" spans="1:6" x14ac:dyDescent="0.6">
      <c r="B26" s="1"/>
      <c r="C26" s="1"/>
      <c r="D26" s="1"/>
      <c r="E26" s="5"/>
      <c r="F26" s="5"/>
    </row>
    <row r="27" spans="1:6" x14ac:dyDescent="0.6">
      <c r="B27" s="1"/>
      <c r="C27" s="1"/>
      <c r="F27" s="2"/>
    </row>
    <row r="28" spans="1:6" x14ac:dyDescent="0.6">
      <c r="B28" s="1"/>
      <c r="C28" s="1"/>
      <c r="D2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2026-05-18T08:18:26Z</dcterms:modified>
</cp:coreProperties>
</file>