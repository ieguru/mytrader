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290B7358-8043-49C8-A4A0-8859F76EABB1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HD현대중공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" i="1"/>
  <c r="E3" i="1"/>
  <c r="E2" i="1"/>
</calcChain>
</file>

<file path=xl/sharedStrings.xml><?xml version="1.0" encoding="utf-8"?>
<sst xmlns="http://schemas.openxmlformats.org/spreadsheetml/2006/main" count="31" uniqueCount="31">
  <si>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</si>
  <si>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</si>
  <si>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</si>
  <si>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</si>
  <si>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</si>
  <si>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</si>
  <si>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</si>
  <si>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</si>
  <si>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</si>
  <si>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</si>
  <si>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</si>
  <si>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</si>
  <si>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</si>
  <si>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</si>
  <si>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</si>
  <si>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</si>
  <si>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</si>
  <si>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</si>
  <si>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</si>
  <si>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</si>
  <si>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</si>
  <si>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</si>
  <si>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</si>
  <si>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</si>
  <si>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</si>
  <si>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</si>
  <si>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</si>
  <si>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</si>
  <si>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</si>
  <si>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2026.4Q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</si>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</sst>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176" fontId="14" fillId="33" borderId="0" xfId="42" applyNumberFormat="1" applyFont="1" applyFill="1" applyBorder="1">
      <alignment vertical="center"/>
    </xf>
    <xf numFmtId="176" fontId="0" fillId="33" borderId="0" xfId="42" applyNumberFormat="1" applyFont="1" applyFill="1" applyBorder="1">
      <alignment vertical="center"/>
    </xf>
    <xf numFmtId="176" fontId="0" fillId="33" borderId="0" xfId="0" applyNumberForma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9"/>
  <sheetViews>
    <sheetView tabSelected="1" workbookViewId="0">
      <selection activeCell="F2" sqref="F2:F26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10.56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s="3" t="s">
        <v>29</v>
      </c>
      <c r="B2" s="4">
        <v>88773116</v>
      </c>
      <c r="C2" s="5">
        <v>10358.799999999999</v>
      </c>
      <c r="D2" s="5">
        <v>8063</v>
      </c>
      <c r="E2" s="6">
        <f>(C2*2+C3*2)</f>
        <v>40175</v>
      </c>
      <c r="F2" s="6">
        <f>E2*100000000/B2*15</f>
        <v>678837.273212309</v>
      </c>
    </row>
    <row r="3" spans="1:6" x14ac:dyDescent="0.6">
      <c r="A3" s="3" t="s">
        <v>30</v>
      </c>
      <c r="B3" s="4">
        <v>88773116</v>
      </c>
      <c r="C3" s="5">
        <v>9728.7000000000007</v>
      </c>
      <c r="D3" s="5">
        <v>7372.2</v>
      </c>
      <c r="E3" s="6">
        <f>(C3*2+C2*2)</f>
        <v>40175</v>
      </c>
      <c r="F3" s="6">
        <f t="shared" ref="F3:F26" si="0">E3*100000000/B3*15</f>
        <v>678837.273212309</v>
      </c>
    </row>
    <row r="4" spans="1:6" x14ac:dyDescent="0.6">
      <c r="A4" s="3" t="s">
        <v>25</v>
      </c>
      <c r="B4" s="4">
        <v>88773116</v>
      </c>
      <c r="C4" s="5">
        <v>9933.2999999999993</v>
      </c>
      <c r="D4" s="5">
        <v>7537.6</v>
      </c>
      <c r="E4" s="6">
        <f>(C4+C3*2+C2)</f>
        <v>39749.5</v>
      </c>
      <c r="F4" s="6">
        <f t="shared" si="0"/>
        <v>671647.59655389364</v>
      </c>
    </row>
    <row r="5" spans="1:6" x14ac:dyDescent="0.6">
      <c r="A5" s="3" t="s">
        <v>26</v>
      </c>
      <c r="B5" s="4">
        <v>88773116</v>
      </c>
      <c r="C5" s="5">
        <v>9053.9</v>
      </c>
      <c r="D5" s="5">
        <v>7738.1</v>
      </c>
      <c r="E5" s="6">
        <f t="shared" ref="E5:E26" si="1">(C5+C4*2+C3)</f>
        <v>38649.199999999997</v>
      </c>
      <c r="F5" s="6">
        <f t="shared" si="0"/>
        <v>653055.81928655063</v>
      </c>
    </row>
    <row r="6" spans="1:6" x14ac:dyDescent="0.6">
      <c r="A6" s="3" t="s">
        <v>27</v>
      </c>
      <c r="B6" s="4">
        <v>88773116</v>
      </c>
      <c r="C6" s="5">
        <v>5750.3</v>
      </c>
      <c r="D6" s="5">
        <v>4895.5</v>
      </c>
      <c r="E6" s="6">
        <f t="shared" si="1"/>
        <v>33791.399999999994</v>
      </c>
      <c r="F6" s="6">
        <f t="shared" si="0"/>
        <v>570973.53662791324</v>
      </c>
    </row>
    <row r="7" spans="1:6" x14ac:dyDescent="0.6">
      <c r="A7" s="3" t="s">
        <v>28</v>
      </c>
      <c r="B7" s="4">
        <v>88773116</v>
      </c>
      <c r="C7" s="5">
        <v>5573</v>
      </c>
      <c r="D7" s="5">
        <v>4308</v>
      </c>
      <c r="E7" s="6">
        <f t="shared" si="1"/>
        <v>26127.5</v>
      </c>
      <c r="F7" s="6">
        <f t="shared" si="0"/>
        <v>441476.5614400648</v>
      </c>
    </row>
    <row r="8" spans="1:6" x14ac:dyDescent="0.6">
      <c r="A8" s="3" t="s">
        <v>21</v>
      </c>
      <c r="B8" s="4">
        <v>88773116</v>
      </c>
      <c r="C8" s="7">
        <v>4715</v>
      </c>
      <c r="D8" s="7">
        <v>2109</v>
      </c>
      <c r="E8" s="6">
        <f t="shared" si="1"/>
        <v>21611.3</v>
      </c>
      <c r="F8" s="6">
        <f t="shared" si="0"/>
        <v>365166.29651706712</v>
      </c>
    </row>
    <row r="9" spans="1:6" x14ac:dyDescent="0.6">
      <c r="A9" s="3" t="s">
        <v>3</v>
      </c>
      <c r="B9" s="4">
        <v>88773116</v>
      </c>
      <c r="C9" s="7">
        <v>4337</v>
      </c>
      <c r="D9" s="7">
        <v>2842</v>
      </c>
      <c r="E9" s="6">
        <f t="shared" si="1"/>
        <v>19340</v>
      </c>
      <c r="F9" s="6">
        <f t="shared" si="0"/>
        <v>326788.12355758698</v>
      </c>
    </row>
    <row r="10" spans="1:6" x14ac:dyDescent="0.6">
      <c r="A10" s="3" t="s">
        <v>4</v>
      </c>
      <c r="B10" s="4">
        <v>88773116</v>
      </c>
      <c r="C10" s="7">
        <v>2822</v>
      </c>
      <c r="D10" s="7">
        <v>3666</v>
      </c>
      <c r="E10" s="6">
        <f t="shared" si="1"/>
        <v>16211</v>
      </c>
      <c r="F10" s="6">
        <f t="shared" si="0"/>
        <v>273917.38733154302</v>
      </c>
    </row>
    <row r="11" spans="1:6" x14ac:dyDescent="0.6">
      <c r="A11" s="3" t="s">
        <v>5</v>
      </c>
      <c r="B11" s="4">
        <v>88773116</v>
      </c>
      <c r="C11" s="7">
        <v>2061</v>
      </c>
      <c r="D11" s="7">
        <v>722</v>
      </c>
      <c r="E11" s="6">
        <f t="shared" si="1"/>
        <v>12042</v>
      </c>
      <c r="F11" s="6">
        <f t="shared" si="0"/>
        <v>203473.76338575294</v>
      </c>
    </row>
    <row r="12" spans="1:6" x14ac:dyDescent="0.6">
      <c r="A12" s="3" t="s">
        <v>6</v>
      </c>
      <c r="B12" s="4">
        <v>88773116</v>
      </c>
      <c r="C12" s="7">
        <v>1956</v>
      </c>
      <c r="D12" s="7">
        <v>1541</v>
      </c>
      <c r="E12" s="6">
        <f t="shared" si="1"/>
        <v>8900</v>
      </c>
      <c r="F12" s="6">
        <f t="shared" si="0"/>
        <v>150383.36606321222</v>
      </c>
    </row>
    <row r="13" spans="1:6" x14ac:dyDescent="0.6">
      <c r="A13" s="3" t="s">
        <v>7</v>
      </c>
      <c r="B13" s="4">
        <v>88773116</v>
      </c>
      <c r="C13" s="7">
        <v>213</v>
      </c>
      <c r="D13" s="7">
        <v>286</v>
      </c>
      <c r="E13" s="6">
        <f t="shared" si="1"/>
        <v>6186</v>
      </c>
      <c r="F13" s="6">
        <f t="shared" si="0"/>
        <v>104524.88791764389</v>
      </c>
    </row>
    <row r="14" spans="1:6" x14ac:dyDescent="0.6">
      <c r="A14" s="3" t="s">
        <v>8</v>
      </c>
      <c r="B14" s="4">
        <v>88773116</v>
      </c>
      <c r="C14" s="7">
        <v>1387</v>
      </c>
      <c r="D14" s="7">
        <v>310</v>
      </c>
      <c r="E14" s="6">
        <f t="shared" si="1"/>
        <v>3769</v>
      </c>
      <c r="F14" s="6">
        <f t="shared" si="0"/>
        <v>63684.820976656934</v>
      </c>
    </row>
    <row r="15" spans="1:6" x14ac:dyDescent="0.6">
      <c r="A15" s="3" t="s">
        <v>9</v>
      </c>
      <c r="B15" s="4">
        <v>88773116</v>
      </c>
      <c r="C15" s="7">
        <v>129</v>
      </c>
      <c r="D15" s="7">
        <v>-98</v>
      </c>
      <c r="E15" s="6">
        <f t="shared" si="1"/>
        <v>3116</v>
      </c>
      <c r="F15" s="6">
        <f t="shared" si="0"/>
        <v>52651.075129547105</v>
      </c>
    </row>
    <row r="16" spans="1:6" x14ac:dyDescent="0.6">
      <c r="A16" s="3" t="s">
        <v>10</v>
      </c>
      <c r="B16" s="4">
        <v>88773116</v>
      </c>
      <c r="C16" s="7">
        <v>685</v>
      </c>
      <c r="D16" s="7">
        <v>241</v>
      </c>
      <c r="E16" s="6">
        <f t="shared" si="1"/>
        <v>2330</v>
      </c>
      <c r="F16" s="6">
        <f t="shared" si="0"/>
        <v>39370.027295200496</v>
      </c>
    </row>
    <row r="17" spans="1:6" x14ac:dyDescent="0.6">
      <c r="A17" s="3" t="s">
        <v>11</v>
      </c>
      <c r="B17" s="4">
        <v>88773116</v>
      </c>
      <c r="C17" s="7">
        <v>-415</v>
      </c>
      <c r="D17" s="7">
        <v>-206</v>
      </c>
      <c r="E17" s="6">
        <f t="shared" si="1"/>
        <v>1084</v>
      </c>
      <c r="F17" s="6">
        <f t="shared" si="0"/>
        <v>18316.356046350789</v>
      </c>
    </row>
    <row r="18" spans="1:6" x14ac:dyDescent="0.6">
      <c r="A18" s="3" t="s">
        <v>12</v>
      </c>
      <c r="B18" s="4">
        <v>88773116</v>
      </c>
      <c r="C18" s="7">
        <v>222</v>
      </c>
      <c r="D18" s="7">
        <v>-1618</v>
      </c>
      <c r="E18" s="6">
        <f t="shared" si="1"/>
        <v>77</v>
      </c>
      <c r="F18" s="6">
        <f t="shared" si="0"/>
        <v>1301.069571558128</v>
      </c>
    </row>
    <row r="19" spans="1:6" x14ac:dyDescent="0.6">
      <c r="A19" s="3" t="s">
        <v>13</v>
      </c>
      <c r="B19" s="4">
        <v>88773116</v>
      </c>
      <c r="C19" s="7">
        <v>143</v>
      </c>
      <c r="D19" s="7">
        <v>504</v>
      </c>
      <c r="E19" s="6">
        <f t="shared" si="1"/>
        <v>172</v>
      </c>
      <c r="F19" s="6">
        <f t="shared" si="0"/>
        <v>2906.285276727247</v>
      </c>
    </row>
    <row r="20" spans="1:6" x14ac:dyDescent="0.6">
      <c r="A20" s="3" t="s">
        <v>14</v>
      </c>
      <c r="B20" s="4">
        <v>88773116</v>
      </c>
      <c r="C20" s="7">
        <v>-1083</v>
      </c>
      <c r="D20" s="7">
        <v>-647</v>
      </c>
      <c r="E20" s="6">
        <f t="shared" si="1"/>
        <v>-575</v>
      </c>
      <c r="F20" s="6">
        <f t="shared" si="0"/>
        <v>-9715.7792681288793</v>
      </c>
    </row>
    <row r="21" spans="1:6" x14ac:dyDescent="0.6">
      <c r="A21" s="3" t="s">
        <v>15</v>
      </c>
      <c r="B21" s="4">
        <v>88773116</v>
      </c>
      <c r="C21" s="7">
        <v>-2174</v>
      </c>
      <c r="D21" s="7">
        <v>-1759</v>
      </c>
      <c r="E21" s="6">
        <f t="shared" si="1"/>
        <v>-4197</v>
      </c>
      <c r="F21" s="6">
        <f t="shared" si="0"/>
        <v>-70916.740153629391</v>
      </c>
    </row>
    <row r="22" spans="1:6" x14ac:dyDescent="0.6">
      <c r="A22" s="3" t="s">
        <v>16</v>
      </c>
      <c r="B22" s="4">
        <v>88773116</v>
      </c>
      <c r="C22" s="7">
        <v>-4807</v>
      </c>
      <c r="D22" s="7">
        <v>-5201</v>
      </c>
      <c r="E22" s="6">
        <f t="shared" si="1"/>
        <v>-10238</v>
      </c>
      <c r="F22" s="6">
        <f t="shared" si="0"/>
        <v>-172991.56199496254</v>
      </c>
    </row>
    <row r="23" spans="1:6" x14ac:dyDescent="0.6">
      <c r="A23" s="3" t="s">
        <v>17</v>
      </c>
      <c r="B23" s="4">
        <v>88773116</v>
      </c>
      <c r="C23" s="7">
        <v>747</v>
      </c>
      <c r="D23" s="7">
        <v>514</v>
      </c>
      <c r="E23" s="6">
        <f t="shared" si="1"/>
        <v>-11041</v>
      </c>
      <c r="F23" s="6">
        <f t="shared" si="0"/>
        <v>-186559.8589554973</v>
      </c>
    </row>
    <row r="24" spans="1:6" x14ac:dyDescent="0.6">
      <c r="A24" s="3" t="s">
        <v>18</v>
      </c>
      <c r="B24" s="4">
        <v>88773116</v>
      </c>
      <c r="C24" s="7">
        <v>-4227</v>
      </c>
      <c r="D24" s="7">
        <v>-3515</v>
      </c>
      <c r="E24" s="6">
        <f t="shared" si="1"/>
        <v>-7540</v>
      </c>
      <c r="F24" s="6">
        <f t="shared" si="0"/>
        <v>-127403.43596815955</v>
      </c>
    </row>
    <row r="25" spans="1:6" x14ac:dyDescent="0.6">
      <c r="A25" s="3" t="s">
        <v>19</v>
      </c>
      <c r="B25" s="4">
        <v>88773116</v>
      </c>
      <c r="C25" s="7">
        <v>284</v>
      </c>
      <c r="D25" s="7">
        <v>60</v>
      </c>
      <c r="E25" s="6">
        <f t="shared" si="1"/>
        <v>-7423</v>
      </c>
      <c r="F25" s="6">
        <f t="shared" si="0"/>
        <v>-125426.48609968812</v>
      </c>
    </row>
    <row r="26" spans="1:6" x14ac:dyDescent="0.6">
      <c r="A26" s="3" t="s">
        <v>20</v>
      </c>
      <c r="B26" s="4">
        <v>88773116</v>
      </c>
      <c r="C26" s="7">
        <v>-690</v>
      </c>
      <c r="D26" s="7">
        <v>-3639</v>
      </c>
      <c r="E26" s="6">
        <f t="shared" si="1"/>
        <v>-4349</v>
      </c>
      <c r="F26" s="6">
        <f t="shared" si="0"/>
        <v>-73485.085281899985</v>
      </c>
    </row>
    <row r="27" spans="1:6" x14ac:dyDescent="0.6">
      <c r="B27" s="1"/>
      <c r="F27" s="2"/>
    </row>
    <row r="28" spans="1:6" x14ac:dyDescent="0.6">
      <c r="B28" s="1"/>
      <c r="F28" s="2"/>
    </row>
    <row r="29" spans="1:6" x14ac:dyDescent="0.6">
      <c r="B29" s="1"/>
      <c r="C29" s="1"/>
      <c r="D2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HD현대중공업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2026-06-15T23:45:59Z</dcterms:modified>
</cp:coreProperties>
</file>