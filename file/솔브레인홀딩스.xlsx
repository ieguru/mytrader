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3801BAD2-F6F1-4AC3-B051-E52839FA0C8B}" xr6:coauthVersionLast="47" xr6:coauthVersionMax="47" xr10:uidLastSave="{00000000-0000-0000-0000-000000000000}"/>
  <bookViews>
    <workbookView xWindow="15037" yWindow="2610" windowWidth="13328" windowHeight="11243" xr2:uid="{FA54B9CB-20F3-4F48-8DD1-43321FBC1276}"/>
  </bookViews>
  <sheets>
    <sheet name="솔브레인홀딩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E23" i="1"/>
  <c r="E24" i="1"/>
  <c r="E25" i="1"/>
  <c r="E26" i="1"/>
  <c r="E27" i="1"/>
  <c r="E4" i="1"/>
  <c r="F4" i="1" s="1"/>
  <c r="F5" i="1"/>
  <c r="F3" i="1"/>
  <c r="E2" i="1"/>
  <c r="F2" i="1" s="1"/>
  <c r="F26" i="1"/>
  <c r="F25" i="1"/>
  <c r="F24" i="1"/>
  <c r="F23" i="1"/>
  <c r="F22" i="1"/>
  <c r="F12" i="1"/>
  <c r="F11" i="1"/>
  <c r="F10" i="1"/>
  <c r="F9" i="1"/>
  <c r="F8" i="1"/>
  <c r="F7" i="1"/>
  <c r="F6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<sst xmlns="http://schemas.openxmlformats.org/spreadsheetml/2006/main" count="34" uniqueCount="34">
  <si>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</si>
  <si>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</si>
  <si>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</si>
  <si>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</si>
  <si>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</si>
  <si>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</si>
  <si>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</si>
  <si>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</si>
  <si>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</si>
  <si>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</si>
  <si>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</si>
  <si>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</si>
  <si>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</si>
  <si>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</si>
  <si>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</si>
  <si>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</si>
  <si>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</si>
  <si>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</si>
  <si>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</si>
  <si>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</si>
  <si>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</si>
  <si>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</si>
  <si>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</si>
  <si>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</si>
  <si>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2025.4Q</t>
    <phoneticPr fontId="18" type="noConversion"/>
  </si>
  <si>
    <t>2025.3Q</t>
    <phoneticPr fontId="18" type="noConversion"/>
  </si>
  <si>
    <t>2025.2Q</t>
    <phoneticPr fontId="18" type="noConversion"/>
  </si>
  <si>
    <t>2020.3Q</t>
    <phoneticPr fontId="18" type="noConversion"/>
  </si>
  <si>
    <t>2020.2Q</t>
    <phoneticPr fontId="18" type="noConversion"/>
  </si>
  <si>
    <t>2020.1Q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</si>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</sst>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  <xf numFmtId="0" fontId="14" fillId="0" borderId="0" xfId="0" applyFont="1">
      <alignment vertical="center"/>
    </xf>
    <xf numFmtId="1" fontId="0" fillId="0" borderId="0" xfId="0" applyNumberFormat="1">
      <alignment vertical="center"/>
    </xf>
    <xf numFmtId="41" fontId="14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D946-55ED-48F0-B75B-69F7E9DDA8C2}">
  <dimension ref="A1:F29"/>
  <sheetViews>
    <sheetView tabSelected="1" workbookViewId="0">
      <selection activeCell="E7" sqref="E7"/>
    </sheetView>
  </sheetViews>
  <sheetFormatPr defaultRowHeight="16.899999999999999" x14ac:dyDescent="0.6"/>
  <cols>
    <col min="2" max="2" width="14.1875" customWidth="1"/>
  </cols>
  <sheetData>
    <row r="1" spans="1:6" x14ac:dyDescent="0.6">
      <c r="A1" t="s">
        <v>0</v>
      </c>
      <c r="B1" t="s">
        <v>21</v>
      </c>
      <c r="C1" t="s">
        <v>1</v>
      </c>
      <c r="D1" t="s">
        <v>2</v>
      </c>
      <c r="E1" t="s">
        <v>22</v>
      </c>
      <c r="F1" t="s">
        <v>23</v>
      </c>
    </row>
    <row r="2" spans="1:6" x14ac:dyDescent="0.6">
      <c r="A2" t="s">
        <v>33</v>
      </c>
      <c r="B2" s="1">
        <v>20964056</v>
      </c>
      <c r="C2" s="5"/>
      <c r="D2" s="3"/>
      <c r="E2">
        <f>(C2*2+C3*2)</f>
        <v>0</v>
      </c>
      <c r="F2" s="2">
        <f>E2*100000000/B2*18</f>
        <v>0</v>
      </c>
    </row>
    <row r="3" spans="1:6" x14ac:dyDescent="0.6">
      <c r="A3" t="s">
        <v>32</v>
      </c>
      <c r="B3" s="1">
        <v>20964056</v>
      </c>
      <c r="C3" s="5"/>
      <c r="D3" s="3"/>
      <c r="F3" s="2">
        <f t="shared" ref="F3:F5" si="0">E3*100000000/B3*18</f>
        <v>0</v>
      </c>
    </row>
    <row r="4" spans="1:6" x14ac:dyDescent="0.6">
      <c r="A4" t="s">
        <v>31</v>
      </c>
      <c r="B4" s="1">
        <v>20964056</v>
      </c>
      <c r="C4" s="5">
        <v>318</v>
      </c>
      <c r="D4" s="3">
        <v>1054</v>
      </c>
      <c r="E4">
        <f>(D2+D3*2+D4)</f>
        <v>1054</v>
      </c>
      <c r="F4" s="2">
        <f t="shared" si="0"/>
        <v>90497.754823780298</v>
      </c>
    </row>
    <row r="5" spans="1:6" x14ac:dyDescent="0.6">
      <c r="A5" t="s">
        <v>30</v>
      </c>
      <c r="B5" s="1">
        <v>20964056</v>
      </c>
      <c r="C5" s="5">
        <v>15</v>
      </c>
      <c r="D5" s="3">
        <v>224</v>
      </c>
      <c r="E5">
        <f t="shared" ref="E5:E27" si="1">(D3+D4*2+D5)</f>
        <v>2332</v>
      </c>
      <c r="F5" s="2">
        <f t="shared" si="0"/>
        <v>200228.42907880043</v>
      </c>
    </row>
    <row r="6" spans="1:6" x14ac:dyDescent="0.6">
      <c r="A6" t="s">
        <v>24</v>
      </c>
      <c r="B6" s="1">
        <v>20964056</v>
      </c>
      <c r="C6" s="5">
        <v>-183</v>
      </c>
      <c r="D6" s="3">
        <v>3842</v>
      </c>
      <c r="E6">
        <f t="shared" si="1"/>
        <v>5344</v>
      </c>
      <c r="F6" s="2">
        <f>E6*100000000/B6*18</f>
        <v>458842.50643100741</v>
      </c>
    </row>
    <row r="7" spans="1:6" x14ac:dyDescent="0.6">
      <c r="A7" t="s">
        <v>25</v>
      </c>
      <c r="B7" s="1">
        <v>20964056</v>
      </c>
      <c r="C7" s="5">
        <v>110</v>
      </c>
      <c r="D7" s="3">
        <v>697.8</v>
      </c>
      <c r="E7">
        <f t="shared" si="1"/>
        <v>8605.7999999999993</v>
      </c>
      <c r="F7" s="2">
        <f t="shared" ref="F7:F26" si="2">E7*100000000/B7*18</f>
        <v>738904.72339894529</v>
      </c>
    </row>
    <row r="8" spans="1:6" x14ac:dyDescent="0.6">
      <c r="A8" t="s">
        <v>26</v>
      </c>
      <c r="B8" s="1">
        <v>20964056</v>
      </c>
      <c r="C8" s="5">
        <v>194.1</v>
      </c>
      <c r="D8" s="3">
        <v>218</v>
      </c>
      <c r="E8">
        <f t="shared" si="1"/>
        <v>5455.6</v>
      </c>
      <c r="F8" s="2">
        <f t="shared" si="2"/>
        <v>468424.62164764304</v>
      </c>
    </row>
    <row r="9" spans="1:6" x14ac:dyDescent="0.6">
      <c r="A9" t="s">
        <v>3</v>
      </c>
      <c r="B9" s="1">
        <v>20964056</v>
      </c>
      <c r="C9" s="5">
        <v>231.7</v>
      </c>
      <c r="D9" s="3">
        <v>115.6</v>
      </c>
      <c r="E9">
        <f t="shared" si="1"/>
        <v>1249.3999999999999</v>
      </c>
      <c r="F9" s="2">
        <f t="shared" si="2"/>
        <v>107275.0425776386</v>
      </c>
    </row>
    <row r="10" spans="1:6" x14ac:dyDescent="0.6">
      <c r="A10" t="s">
        <v>4</v>
      </c>
      <c r="B10" s="1">
        <v>20964056</v>
      </c>
      <c r="C10" s="2">
        <v>25</v>
      </c>
      <c r="D10" s="1">
        <v>-219.4</v>
      </c>
      <c r="E10">
        <f t="shared" si="1"/>
        <v>229.79999999999998</v>
      </c>
      <c r="F10" s="2">
        <f t="shared" si="2"/>
        <v>19730.914666513007</v>
      </c>
    </row>
    <row r="11" spans="1:6" x14ac:dyDescent="0.6">
      <c r="A11" t="s">
        <v>5</v>
      </c>
      <c r="B11" s="1">
        <v>20964056</v>
      </c>
      <c r="C11" s="2">
        <v>200</v>
      </c>
      <c r="D11" s="1">
        <v>62</v>
      </c>
      <c r="E11">
        <f t="shared" si="1"/>
        <v>-261.20000000000005</v>
      </c>
      <c r="F11" s="2">
        <f t="shared" si="2"/>
        <v>-22426.957836785023</v>
      </c>
    </row>
    <row r="12" spans="1:6" x14ac:dyDescent="0.6">
      <c r="A12" t="s">
        <v>6</v>
      </c>
      <c r="B12" s="1">
        <v>20964056</v>
      </c>
      <c r="C12" s="2">
        <v>318</v>
      </c>
      <c r="D12" s="1">
        <v>480</v>
      </c>
      <c r="E12">
        <f t="shared" si="1"/>
        <v>384.6</v>
      </c>
      <c r="F12" s="2">
        <f t="shared" si="2"/>
        <v>33022.235773459106</v>
      </c>
    </row>
    <row r="13" spans="1:6" x14ac:dyDescent="0.6">
      <c r="A13" t="s">
        <v>7</v>
      </c>
      <c r="B13" s="1">
        <v>20964056</v>
      </c>
      <c r="C13" s="2">
        <v>260</v>
      </c>
      <c r="D13" s="1">
        <v>212</v>
      </c>
      <c r="E13">
        <f t="shared" si="1"/>
        <v>1234</v>
      </c>
      <c r="F13" s="2">
        <f t="shared" si="2"/>
        <v>105952.77936674087</v>
      </c>
    </row>
    <row r="14" spans="1:6" x14ac:dyDescent="0.6">
      <c r="A14" t="s">
        <v>8</v>
      </c>
      <c r="B14" s="1">
        <v>20964056</v>
      </c>
      <c r="C14" s="2">
        <v>254</v>
      </c>
      <c r="D14" s="1">
        <v>-49</v>
      </c>
      <c r="E14">
        <f t="shared" si="1"/>
        <v>855</v>
      </c>
      <c r="F14" s="2">
        <f t="shared" si="2"/>
        <v>73411.366579062757</v>
      </c>
    </row>
    <row r="15" spans="1:6" x14ac:dyDescent="0.6">
      <c r="A15" t="s">
        <v>9</v>
      </c>
      <c r="B15" s="1">
        <v>20964056</v>
      </c>
      <c r="C15" s="2">
        <v>313</v>
      </c>
      <c r="D15">
        <v>218</v>
      </c>
      <c r="E15">
        <f t="shared" si="1"/>
        <v>332</v>
      </c>
      <c r="F15" s="2">
        <f t="shared" si="2"/>
        <v>28505.934157016178</v>
      </c>
    </row>
    <row r="16" spans="1:6" x14ac:dyDescent="0.6">
      <c r="A16" t="s">
        <v>10</v>
      </c>
      <c r="B16" s="1">
        <v>20964056</v>
      </c>
      <c r="C16" s="2">
        <v>334</v>
      </c>
      <c r="D16" s="1">
        <v>459</v>
      </c>
      <c r="E16">
        <f t="shared" si="1"/>
        <v>846</v>
      </c>
      <c r="F16" s="2">
        <f t="shared" si="2"/>
        <v>72638.615351914719</v>
      </c>
    </row>
    <row r="17" spans="1:6" x14ac:dyDescent="0.6">
      <c r="A17" t="s">
        <v>11</v>
      </c>
      <c r="B17" s="1">
        <v>20964056</v>
      </c>
      <c r="C17" s="2">
        <v>308</v>
      </c>
      <c r="D17">
        <v>206</v>
      </c>
      <c r="E17">
        <f t="shared" si="1"/>
        <v>1342</v>
      </c>
      <c r="F17" s="2">
        <f t="shared" si="2"/>
        <v>115225.7940925172</v>
      </c>
    </row>
    <row r="18" spans="1:6" x14ac:dyDescent="0.6">
      <c r="A18" t="s">
        <v>12</v>
      </c>
      <c r="B18" s="1">
        <v>20964056</v>
      </c>
      <c r="C18" s="2">
        <v>76</v>
      </c>
      <c r="D18" s="1">
        <v>-78</v>
      </c>
      <c r="E18">
        <f t="shared" si="1"/>
        <v>793</v>
      </c>
      <c r="F18" s="2">
        <f t="shared" si="2"/>
        <v>68087.96923648745</v>
      </c>
    </row>
    <row r="19" spans="1:6" x14ac:dyDescent="0.6">
      <c r="A19" t="s">
        <v>13</v>
      </c>
      <c r="B19" s="1">
        <v>20964056</v>
      </c>
      <c r="C19" s="2">
        <v>231</v>
      </c>
      <c r="D19" s="1">
        <v>282</v>
      </c>
      <c r="E19">
        <f t="shared" si="1"/>
        <v>332</v>
      </c>
      <c r="F19" s="2">
        <f t="shared" si="2"/>
        <v>28505.934157016178</v>
      </c>
    </row>
    <row r="20" spans="1:6" x14ac:dyDescent="0.6">
      <c r="A20" t="s">
        <v>14</v>
      </c>
      <c r="B20" s="1">
        <v>20964056</v>
      </c>
      <c r="C20" s="2">
        <v>262</v>
      </c>
      <c r="D20" s="1">
        <v>335</v>
      </c>
      <c r="E20">
        <f t="shared" si="1"/>
        <v>821</v>
      </c>
      <c r="F20" s="2">
        <f t="shared" si="2"/>
        <v>70492.084165392429</v>
      </c>
    </row>
    <row r="21" spans="1:6" x14ac:dyDescent="0.6">
      <c r="A21" t="s">
        <v>15</v>
      </c>
      <c r="B21" s="1">
        <v>20964056</v>
      </c>
      <c r="C21" s="2">
        <v>165</v>
      </c>
      <c r="D21" s="1">
        <v>57</v>
      </c>
      <c r="E21">
        <f t="shared" si="1"/>
        <v>1009</v>
      </c>
      <c r="F21" s="2">
        <f t="shared" si="2"/>
        <v>86633.998688040141</v>
      </c>
    </row>
    <row r="22" spans="1:6" x14ac:dyDescent="0.6">
      <c r="A22" t="s">
        <v>16</v>
      </c>
      <c r="B22" s="1">
        <v>20964056</v>
      </c>
      <c r="C22" s="2">
        <v>37</v>
      </c>
      <c r="D22" s="1">
        <v>-12</v>
      </c>
      <c r="E22">
        <f t="shared" si="1"/>
        <v>437</v>
      </c>
      <c r="F22" s="2">
        <f t="shared" si="2"/>
        <v>37521.365140409849</v>
      </c>
    </row>
    <row r="23" spans="1:6" x14ac:dyDescent="0.6">
      <c r="A23" t="s">
        <v>17</v>
      </c>
      <c r="B23" s="1">
        <v>20964056</v>
      </c>
      <c r="C23" s="2">
        <v>142</v>
      </c>
      <c r="D23" s="1">
        <v>158</v>
      </c>
      <c r="E23">
        <f t="shared" si="1"/>
        <v>191</v>
      </c>
      <c r="F23" s="2">
        <f t="shared" si="2"/>
        <v>16399.498265030394</v>
      </c>
    </row>
    <row r="24" spans="1:6" x14ac:dyDescent="0.6">
      <c r="A24" t="s">
        <v>18</v>
      </c>
      <c r="B24" s="1">
        <v>20964056</v>
      </c>
      <c r="C24" s="2">
        <v>125</v>
      </c>
      <c r="D24" s="1">
        <v>-26</v>
      </c>
      <c r="E24">
        <f t="shared" si="1"/>
        <v>278</v>
      </c>
      <c r="F24" s="2">
        <f t="shared" si="2"/>
        <v>23869.426794128005</v>
      </c>
    </row>
    <row r="25" spans="1:6" x14ac:dyDescent="0.6">
      <c r="A25" t="s">
        <v>19</v>
      </c>
      <c r="B25" s="1">
        <v>20964056</v>
      </c>
      <c r="C25" s="2">
        <v>240</v>
      </c>
      <c r="D25" s="1">
        <v>180</v>
      </c>
      <c r="E25">
        <f t="shared" si="1"/>
        <v>286</v>
      </c>
      <c r="F25" s="2">
        <f t="shared" si="2"/>
        <v>24556.316773815146</v>
      </c>
    </row>
    <row r="26" spans="1:6" x14ac:dyDescent="0.6">
      <c r="A26" t="s">
        <v>20</v>
      </c>
      <c r="B26" s="1">
        <v>20964056</v>
      </c>
      <c r="C26" s="2">
        <v>173</v>
      </c>
      <c r="D26">
        <v>286</v>
      </c>
      <c r="E26">
        <f t="shared" si="1"/>
        <v>620</v>
      </c>
      <c r="F26" s="2">
        <f t="shared" si="2"/>
        <v>53233.973425753109</v>
      </c>
    </row>
    <row r="27" spans="1:6" x14ac:dyDescent="0.6">
      <c r="A27" t="s">
        <v>27</v>
      </c>
      <c r="B27" s="1">
        <v>20964056</v>
      </c>
      <c r="C27" s="2">
        <v>17</v>
      </c>
      <c r="D27" s="1">
        <v>13143</v>
      </c>
      <c r="E27">
        <f t="shared" si="1"/>
        <v>13895</v>
      </c>
      <c r="F27" s="4"/>
    </row>
    <row r="28" spans="1:6" x14ac:dyDescent="0.6">
      <c r="A28" t="s">
        <v>28</v>
      </c>
      <c r="B28" s="1">
        <v>20964056</v>
      </c>
      <c r="C28" s="2">
        <v>-507</v>
      </c>
      <c r="D28">
        <v>408</v>
      </c>
      <c r="F28" s="4"/>
    </row>
    <row r="29" spans="1:6" x14ac:dyDescent="0.6">
      <c r="A29" t="s">
        <v>29</v>
      </c>
      <c r="B29" s="1">
        <v>20964056</v>
      </c>
      <c r="C29" s="2">
        <v>482</v>
      </c>
      <c r="D29">
        <v>607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솔브레인홀딩스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2025-08-21T22:57:58Z</dcterms:created>
  <dcterms:modified xsi:type="dcterms:W3CDTF">2026-10-08T09:06:01Z</dcterms:modified>
</cp:coreProperties>
</file>