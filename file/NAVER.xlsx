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ABDBAA45-3FEF-4120-B910-7775E4C076AA}" xr6:coauthVersionLast="47" xr6:coauthVersionMax="47" xr10:uidLastSave="{00000000-0000-0000-0000-000000000000}"/>
  <bookViews>
    <workbookView xWindow="2280" yWindow="2280" windowWidth="16850" windowHeight="17660" xr2:uid="{20458A90-AA7A-468A-9564-B848874231C8}"/>
  </bookViews>
  <sheets>
    <sheet name="NA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2" i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E13" i="1"/>
  <c r="E12" i="1"/>
  <c r="E11" i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<sst xmlns="http://schemas.openxmlformats.org/spreadsheetml/2006/main" count="28" uniqueCount="28">
  <si>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</si>
  <si>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</si>
  <si>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</si>
  <si>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</si>
  <si>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</si>
  <si>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</si>
  <si>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</si>
  <si>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</si>
  <si>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</si>
  <si>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</si>
  <si>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</si>
  <si>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</si>
  <si>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</si>
  <si>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</si>
  <si>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</si>
  <si>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</si>
  <si>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</si>
  <si>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</si>
  <si>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</si>
  <si>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</si>
  <si>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</si>
  <si>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</si>
  <si>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</si>
  <si>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20201Q</t>
  </si>
  <si>
    <t>2025.2Q</t>
  </si>
  <si>
    <t>상장주식수</t>
  </si>
  <si>
    <t>4Q_income</t>
  </si>
  <si>
    <t>목표가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</si>
</sst>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  <xf numFmtId="41" fontId="0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BC56-B3C1-4C59-982B-8C86BC734C74}">
  <dimension ref="A1:F25"/>
  <sheetViews>
    <sheetView tabSelected="1" workbookViewId="0">
      <selection activeCell="F2" sqref="F2"/>
    </sheetView>
  </sheetViews>
  <sheetFormatPr defaultRowHeight="17" x14ac:dyDescent="0.45"/>
  <cols>
    <col min="2" max="2" width="11.33203125" bestFit="1" customWidth="1"/>
    <col min="3" max="3" width="8.75" bestFit="1" customWidth="1"/>
    <col min="4" max="4" width="9.08203125" bestFit="1" customWidth="1"/>
    <col min="5" max="5" width="8.75" bestFit="1" customWidth="1"/>
    <col min="6" max="6" width="9.08203125" bestFit="1" customWidth="1"/>
  </cols>
  <sheetData>
    <row r="1" spans="1:6" x14ac:dyDescent="0.45">
      <c r="A1" t="s">
        <v>0</v>
      </c>
      <c r="B1" t="s">
        <v>25</v>
      </c>
      <c r="C1" t="s">
        <v>1</v>
      </c>
      <c r="D1" t="s">
        <v>2</v>
      </c>
      <c r="E1" t="s">
        <v>26</v>
      </c>
      <c r="F1" t="s">
        <v>27</v>
      </c>
    </row>
    <row r="2" spans="1:6" x14ac:dyDescent="0.45">
      <c r="A2" t="s">
        <v>24</v>
      </c>
      <c r="B2" s="1">
        <v>158437008</v>
      </c>
      <c r="C2" s="3">
        <v>6354</v>
      </c>
      <c r="D2" s="3">
        <v>4296</v>
      </c>
      <c r="E2" s="2">
        <f>SUM(C2:C5)</f>
        <v>22206</v>
      </c>
      <c r="F2" s="2">
        <f>E2*100000000/B2*17</f>
        <v>238266.30202458758</v>
      </c>
    </row>
    <row r="3" spans="1:6" x14ac:dyDescent="0.45">
      <c r="A3" t="s">
        <v>3</v>
      </c>
      <c r="B3" s="1">
        <v>158437008</v>
      </c>
      <c r="C3" s="2">
        <v>5305</v>
      </c>
      <c r="D3" s="2">
        <v>4019</v>
      </c>
      <c r="E3" s="2">
        <f>SUM(C2:C5)</f>
        <v>22206</v>
      </c>
      <c r="F3" s="2">
        <f t="shared" ref="F3:F21" si="0">E3*100000000/B3*17</f>
        <v>238266.30202458758</v>
      </c>
    </row>
    <row r="4" spans="1:6" x14ac:dyDescent="0.45">
      <c r="A4" t="s">
        <v>4</v>
      </c>
      <c r="B4" s="1">
        <v>158437008</v>
      </c>
      <c r="C4" s="2">
        <v>5294</v>
      </c>
      <c r="D4" s="2">
        <v>4187</v>
      </c>
      <c r="E4" s="2">
        <f t="shared" ref="E4:E21" si="1">SUM(C3:C6)</f>
        <v>20579</v>
      </c>
      <c r="F4" s="2">
        <f t="shared" si="0"/>
        <v>220808.89081167197</v>
      </c>
    </row>
    <row r="5" spans="1:6" x14ac:dyDescent="0.45">
      <c r="A5" t="s">
        <v>5</v>
      </c>
      <c r="B5" s="1">
        <v>158437008</v>
      </c>
      <c r="C5" s="2">
        <v>5253</v>
      </c>
      <c r="D5" s="2">
        <v>5301</v>
      </c>
      <c r="E5" s="2">
        <f t="shared" si="1"/>
        <v>19667</v>
      </c>
      <c r="F5" s="2">
        <f t="shared" si="0"/>
        <v>211023.29829404503</v>
      </c>
    </row>
    <row r="6" spans="1:6" x14ac:dyDescent="0.45">
      <c r="A6" t="s">
        <v>6</v>
      </c>
      <c r="B6" s="1">
        <v>158437008</v>
      </c>
      <c r="C6" s="2">
        <v>4727</v>
      </c>
      <c r="D6" s="2">
        <v>3321</v>
      </c>
      <c r="E6" s="2">
        <f t="shared" si="1"/>
        <v>18428</v>
      </c>
      <c r="F6" s="2">
        <f t="shared" si="0"/>
        <v>197729.05582766369</v>
      </c>
    </row>
    <row r="7" spans="1:6" x14ac:dyDescent="0.45">
      <c r="A7" t="s">
        <v>7</v>
      </c>
      <c r="B7" s="1">
        <v>158437008</v>
      </c>
      <c r="C7" s="2">
        <v>4393</v>
      </c>
      <c r="D7" s="2">
        <v>5558</v>
      </c>
      <c r="E7" s="2">
        <f t="shared" si="1"/>
        <v>16977</v>
      </c>
      <c r="F7" s="2">
        <f t="shared" si="0"/>
        <v>182160.09229358839</v>
      </c>
    </row>
    <row r="8" spans="1:6" x14ac:dyDescent="0.45">
      <c r="A8" t="s">
        <v>8</v>
      </c>
      <c r="B8" s="1">
        <v>158437008</v>
      </c>
      <c r="C8" s="2">
        <v>4055</v>
      </c>
      <c r="D8" s="2">
        <v>2984</v>
      </c>
      <c r="E8" s="2">
        <f t="shared" si="1"/>
        <v>15977</v>
      </c>
      <c r="F8" s="2">
        <f t="shared" si="0"/>
        <v>171430.27593654129</v>
      </c>
    </row>
    <row r="9" spans="1:6" x14ac:dyDescent="0.45">
      <c r="A9" t="s">
        <v>9</v>
      </c>
      <c r="B9" s="1">
        <v>158437008</v>
      </c>
      <c r="C9" s="2">
        <v>3802</v>
      </c>
      <c r="D9" s="2">
        <v>3562</v>
      </c>
      <c r="E9" s="2">
        <f t="shared" si="1"/>
        <v>14889</v>
      </c>
      <c r="F9" s="2">
        <f t="shared" si="0"/>
        <v>159756.23574007407</v>
      </c>
    </row>
    <row r="10" spans="1:6" x14ac:dyDescent="0.45">
      <c r="A10" t="s">
        <v>10</v>
      </c>
      <c r="B10" s="1">
        <v>158437008</v>
      </c>
      <c r="C10" s="2">
        <v>3727</v>
      </c>
      <c r="D10" s="2">
        <v>2867</v>
      </c>
      <c r="E10" s="2">
        <f t="shared" si="1"/>
        <v>14199</v>
      </c>
      <c r="F10" s="2">
        <f t="shared" si="0"/>
        <v>152352.66245371156</v>
      </c>
    </row>
    <row r="11" spans="1:6" x14ac:dyDescent="0.45">
      <c r="A11" t="s">
        <v>11</v>
      </c>
      <c r="B11" s="1">
        <v>158437008</v>
      </c>
      <c r="C11" s="2">
        <v>3305</v>
      </c>
      <c r="D11" s="2">
        <v>437</v>
      </c>
      <c r="E11" s="2">
        <f t="shared" si="1"/>
        <v>13699</v>
      </c>
      <c r="F11" s="2">
        <f t="shared" si="0"/>
        <v>146987.75427518802</v>
      </c>
    </row>
    <row r="12" spans="1:6" x14ac:dyDescent="0.45">
      <c r="A12" t="s">
        <v>12</v>
      </c>
      <c r="B12" s="1">
        <v>158437008</v>
      </c>
      <c r="C12" s="2">
        <v>3365</v>
      </c>
      <c r="D12" s="2">
        <v>1318</v>
      </c>
      <c r="E12" s="2">
        <f t="shared" si="1"/>
        <v>13334</v>
      </c>
      <c r="F12" s="2">
        <f t="shared" si="0"/>
        <v>143071.37130486584</v>
      </c>
    </row>
    <row r="13" spans="1:6" x14ac:dyDescent="0.45">
      <c r="A13" t="s">
        <v>13</v>
      </c>
      <c r="B13" s="1">
        <v>158437008</v>
      </c>
      <c r="C13" s="2">
        <v>3302</v>
      </c>
      <c r="D13" s="2">
        <v>2316</v>
      </c>
      <c r="E13" s="2">
        <f t="shared" si="1"/>
        <v>13047</v>
      </c>
      <c r="F13" s="2">
        <f t="shared" si="0"/>
        <v>139991.91401039332</v>
      </c>
    </row>
    <row r="14" spans="1:6" x14ac:dyDescent="0.45">
      <c r="A14" t="s">
        <v>14</v>
      </c>
      <c r="B14" s="1">
        <v>158437008</v>
      </c>
      <c r="C14" s="2">
        <v>3362</v>
      </c>
      <c r="D14" s="2">
        <v>1585</v>
      </c>
      <c r="E14" s="2">
        <f t="shared" si="1"/>
        <v>13194</v>
      </c>
      <c r="F14" s="2">
        <f t="shared" si="0"/>
        <v>141569.19701487926</v>
      </c>
    </row>
    <row r="15" spans="1:6" x14ac:dyDescent="0.45">
      <c r="A15" t="s">
        <v>15</v>
      </c>
      <c r="B15" s="1">
        <v>158437008</v>
      </c>
      <c r="C15" s="2">
        <v>3018</v>
      </c>
      <c r="D15" s="2">
        <v>1514</v>
      </c>
      <c r="E15" s="2">
        <f t="shared" si="1"/>
        <v>13390</v>
      </c>
      <c r="F15" s="2">
        <f t="shared" si="0"/>
        <v>143672.24102086047</v>
      </c>
    </row>
    <row r="16" spans="1:6" x14ac:dyDescent="0.45">
      <c r="A16" t="s">
        <v>16</v>
      </c>
      <c r="B16" s="1">
        <v>158437008</v>
      </c>
      <c r="C16" s="2">
        <v>3512</v>
      </c>
      <c r="D16" s="2">
        <v>2998</v>
      </c>
      <c r="E16" s="2">
        <f t="shared" si="1"/>
        <v>13384</v>
      </c>
      <c r="F16" s="2">
        <f t="shared" si="0"/>
        <v>143607.86212271819</v>
      </c>
    </row>
    <row r="17" spans="1:6" x14ac:dyDescent="0.45">
      <c r="A17" t="s">
        <v>17</v>
      </c>
      <c r="B17" s="1">
        <v>158437008</v>
      </c>
      <c r="C17" s="2">
        <v>3498</v>
      </c>
      <c r="D17" s="2">
        <v>3227</v>
      </c>
      <c r="E17" s="2">
        <f t="shared" si="1"/>
        <v>13254</v>
      </c>
      <c r="F17" s="2">
        <f t="shared" si="0"/>
        <v>142212.9859963021</v>
      </c>
    </row>
    <row r="18" spans="1:6" x14ac:dyDescent="0.45">
      <c r="A18" t="s">
        <v>18</v>
      </c>
      <c r="B18" s="1">
        <v>158437008</v>
      </c>
      <c r="C18" s="2">
        <v>3356</v>
      </c>
      <c r="D18" s="2">
        <v>5406</v>
      </c>
      <c r="E18" s="2">
        <f t="shared" si="1"/>
        <v>12980</v>
      </c>
      <c r="F18" s="2">
        <f t="shared" si="0"/>
        <v>139273.01631447117</v>
      </c>
    </row>
    <row r="19" spans="1:6" x14ac:dyDescent="0.45">
      <c r="A19" t="s">
        <v>19</v>
      </c>
      <c r="B19" s="1">
        <v>158437008</v>
      </c>
      <c r="C19" s="2">
        <v>2888</v>
      </c>
      <c r="D19" s="2">
        <v>153145</v>
      </c>
      <c r="E19" s="2">
        <f t="shared" si="1"/>
        <v>13877</v>
      </c>
      <c r="F19" s="2">
        <f t="shared" si="0"/>
        <v>148897.66158674241</v>
      </c>
    </row>
    <row r="20" spans="1:6" x14ac:dyDescent="0.45">
      <c r="A20" t="s">
        <v>20</v>
      </c>
      <c r="B20" s="1">
        <v>158437008</v>
      </c>
      <c r="C20" s="2">
        <v>3238</v>
      </c>
      <c r="D20" s="2">
        <v>3841</v>
      </c>
      <c r="E20" s="2">
        <f t="shared" si="1"/>
        <v>12827</v>
      </c>
      <c r="F20" s="2">
        <f t="shared" si="0"/>
        <v>137631.35441184297</v>
      </c>
    </row>
    <row r="21" spans="1:6" x14ac:dyDescent="0.45">
      <c r="A21" t="s">
        <v>21</v>
      </c>
      <c r="B21" s="1">
        <v>158437008</v>
      </c>
      <c r="C21" s="2">
        <v>4395</v>
      </c>
      <c r="D21" s="2">
        <v>2353</v>
      </c>
      <c r="E21" s="2">
        <f t="shared" si="1"/>
        <v>12154</v>
      </c>
      <c r="F21" s="2">
        <f t="shared" si="0"/>
        <v>130410.18800355027</v>
      </c>
    </row>
    <row r="22" spans="1:6" x14ac:dyDescent="0.45">
      <c r="A22" t="s">
        <v>22</v>
      </c>
      <c r="B22" s="1">
        <v>158437008</v>
      </c>
      <c r="C22" s="2">
        <v>2306</v>
      </c>
      <c r="D22" s="2">
        <v>907</v>
      </c>
      <c r="E22" s="2"/>
      <c r="F22" s="2"/>
    </row>
    <row r="23" spans="1:6" x14ac:dyDescent="0.45">
      <c r="A23" t="s">
        <v>23</v>
      </c>
      <c r="B23" s="1">
        <v>158437008</v>
      </c>
      <c r="C23" s="2">
        <v>2215</v>
      </c>
      <c r="D23" s="2">
        <v>1349</v>
      </c>
      <c r="E23" s="2"/>
      <c r="F23" s="2"/>
    </row>
    <row r="24" spans="1:6" x14ac:dyDescent="0.45">
      <c r="E24" s="2"/>
      <c r="F24" s="2"/>
    </row>
    <row r="25" spans="1:6" x14ac:dyDescent="0.45">
      <c r="E25" s="2"/>
      <c r="F25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NAVER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2025-01-31T15:21:33Z</dcterms:created>
  <dcterms:modified xsi:type="dcterms:W3CDTF">2026-01-10T02:44:22Z</dcterms:modified>
</cp:coreProperties>
</file>