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202300"/>
  <mc:AlternateContent xmlns:mc="http://schemas.openxmlformats.org/markup-compatibility/2006">
    <mc:Choice Requires="x15">
      <x15ac:absPath xmlns:x15ac="http://schemas.microsoft.com/office/spreadsheetml/2010/11/ac" url="G:\내 드라이브\Colab Notebooks\FIN\"/>
    </mc:Choice>
  </mc:AlternateContent>
  <xr:revisionPtr revIDLastSave="0" documentId="13_ncr:1_{7336DD8B-5555-4BE9-9FD9-7A88BDEAC32B}" xr6:coauthVersionLast="47" xr6:coauthVersionMax="47" xr10:uidLastSave="{00000000-0000-0000-0000-000000000000}"/>
  <bookViews>
    <workbookView xWindow="-110" yWindow="-110" windowWidth="38620" windowHeight="21100" xr2:uid="{CD60ED9A-4380-49BF-8992-0A3F05A505D9}"/>
  </bookViews>
  <sheets>
    <sheet name="한국캐피탈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21" i="1" l="1"/>
  <c r="F21" i="1" s="1"/>
  <c r="E20" i="1"/>
  <c r="F20" i="1" s="1"/>
  <c r="E19" i="1"/>
  <c r="F19" i="1" s="1"/>
  <c r="E18" i="1"/>
  <c r="F18" i="1" s="1"/>
  <c r="F17" i="1"/>
  <c r="E17" i="1"/>
  <c r="E16" i="1"/>
  <c r="F16" i="1" s="1"/>
  <c r="E15" i="1"/>
  <c r="F15" i="1" s="1"/>
  <c r="E14" i="1"/>
  <c r="F14" i="1" s="1"/>
  <c r="E13" i="1"/>
  <c r="F13" i="1" s="1"/>
  <c r="E12" i="1"/>
  <c r="F12" i="1" s="1"/>
  <c r="E11" i="1"/>
  <c r="F11" i="1" s="1"/>
  <c r="E10" i="1"/>
  <c r="F10" i="1" s="1"/>
  <c r="E9" i="1"/>
  <c r="F9" i="1" s="1"/>
  <c r="E8" i="1"/>
  <c r="F8" i="1" s="1"/>
  <c r="E7" i="1"/>
  <c r="F7" i="1" s="1"/>
  <c r="E6" i="1"/>
  <c r="F6" i="1" s="1"/>
  <c r="E5" i="1"/>
  <c r="F5" i="1" s="1"/>
  <c r="E4" i="1"/>
  <c r="F4" i="1" s="1"/>
  <c r="E3" i="1"/>
  <c r="F3" i="1" s="1"/>
  <c r="E2" i="1"/>
  <c r="F2" i="1" s="1"/>
</calcChain>
</file>

<file path=xl/sharedStrings.xml><?xml version="1.0" encoding="utf-8"?>
<sst xmlns="http://schemas.openxmlformats.org/spreadsheetml/2006/main" count="28" uniqueCount="28">
  <si>
    <t>분기</t>
  </si>
  <si>
    <t>상장주식수</t>
  </si>
  <si>
    <t>영업이익</t>
  </si>
  <si>
    <t>순이익</t>
  </si>
  <si>
    <t>4Q_income</t>
  </si>
  <si>
    <t>목표가</t>
  </si>
  <si>
    <t>2025.2Q</t>
  </si>
  <si>
    <t>2025.1Q</t>
  </si>
  <si>
    <t>2024.4Q</t>
  </si>
  <si>
    <t>2024.3Q</t>
  </si>
  <si>
    <t>2024.2Q</t>
  </si>
  <si>
    <t>2024.1Q</t>
  </si>
  <si>
    <t>2023.4Q</t>
  </si>
  <si>
    <t>2023.3Q</t>
  </si>
  <si>
    <t>2023.2Q</t>
  </si>
  <si>
    <t>2023.1Q</t>
  </si>
  <si>
    <t>2022.4Q</t>
  </si>
  <si>
    <t>2022.3Q</t>
  </si>
  <si>
    <t>2022.2Q</t>
  </si>
  <si>
    <t>2022.1Q</t>
  </si>
  <si>
    <t>2021.4Q</t>
  </si>
  <si>
    <t>2021.3Q</t>
  </si>
  <si>
    <t>2021.2Q</t>
  </si>
  <si>
    <t>2021.1Q</t>
  </si>
  <si>
    <t>2020.4Q</t>
  </si>
  <si>
    <t>2020.3Q</t>
  </si>
  <si>
    <t>2020.2Q</t>
  </si>
  <si>
    <t>2020.1Q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</si>
</sst>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18"/>
      <color theme="3"/>
      <name val="맑은 고딕"/>
      <family val="2"/>
      <charset val="129"/>
      <scheme val="major"/>
    </font>
    <font>
      <b/>
      <sz val="15"/>
      <color theme="3"/>
      <name val="맑은 고딕"/>
      <family val="2"/>
      <charset val="129"/>
      <scheme val="minor"/>
    </font>
    <font>
      <b/>
      <sz val="13"/>
      <color theme="3"/>
      <name val="맑은 고딕"/>
      <family val="2"/>
      <charset val="129"/>
      <scheme val="minor"/>
    </font>
    <font>
      <b/>
      <sz val="11"/>
      <color theme="3"/>
      <name val="맑은 고딕"/>
      <family val="2"/>
      <charset val="129"/>
      <scheme val="minor"/>
    </font>
    <font>
      <sz val="11"/>
      <color rgb="FF006100"/>
      <name val="맑은 고딕"/>
      <family val="2"/>
      <charset val="129"/>
      <scheme val="minor"/>
    </font>
    <font>
      <sz val="11"/>
      <color rgb="FF9C0006"/>
      <name val="맑은 고딕"/>
      <family val="2"/>
      <charset val="129"/>
      <scheme val="minor"/>
    </font>
    <font>
      <sz val="11"/>
      <color rgb="FF9C5700"/>
      <name val="맑은 고딕"/>
      <family val="2"/>
      <charset val="129"/>
      <scheme val="minor"/>
    </font>
    <font>
      <sz val="11"/>
      <color rgb="FF3F3F76"/>
      <name val="맑은 고딕"/>
      <family val="2"/>
      <charset val="129"/>
      <scheme val="minor"/>
    </font>
    <font>
      <b/>
      <sz val="11"/>
      <color rgb="FF3F3F3F"/>
      <name val="맑은 고딕"/>
      <family val="2"/>
      <charset val="129"/>
      <scheme val="minor"/>
    </font>
    <font>
      <b/>
      <sz val="11"/>
      <color rgb="FFFA7D00"/>
      <name val="맑은 고딕"/>
      <family val="2"/>
      <charset val="129"/>
      <scheme val="minor"/>
    </font>
    <font>
      <sz val="11"/>
      <color rgb="FFFA7D00"/>
      <name val="맑은 고딕"/>
      <family val="2"/>
      <charset val="129"/>
      <scheme val="minor"/>
    </font>
    <font>
      <b/>
      <sz val="11"/>
      <color theme="0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i/>
      <sz val="11"/>
      <color rgb="FF7F7F7F"/>
      <name val="맑은 고딕"/>
      <family val="2"/>
      <charset val="129"/>
      <scheme val="minor"/>
    </font>
    <font>
      <b/>
      <sz val="11"/>
      <color theme="1"/>
      <name val="맑은 고딕"/>
      <family val="2"/>
      <charset val="129"/>
      <scheme val="minor"/>
    </font>
    <font>
      <sz val="11"/>
      <color theme="0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">
    <xf numFmtId="0" fontId="0" fillId="0" borderId="0" xfId="0">
      <alignment vertical="center"/>
    </xf>
    <xf numFmtId="3" fontId="0" fillId="0" borderId="0" xfId="0" applyNumberFormat="1">
      <alignment vertical="center"/>
    </xf>
    <xf numFmtId="1" fontId="0" fillId="0" borderId="0" xfId="0" applyNumberFormat="1">
      <alignment vertical="center"/>
    </xf>
  </cellXfs>
  <cellStyles count="42">
    <cellStyle name="20% - 강조색1" xfId="19" builtinId="30" customBuiltin="1"/>
    <cellStyle name="20% - 강조색2" xfId="23" builtinId="34" customBuiltin="1"/>
    <cellStyle name="20% - 강조색3" xfId="27" builtinId="38" customBuiltin="1"/>
    <cellStyle name="20% - 강조색4" xfId="31" builtinId="42" customBuiltin="1"/>
    <cellStyle name="20% - 강조색5" xfId="35" builtinId="46" customBuiltin="1"/>
    <cellStyle name="20% - 강조색6" xfId="39" builtinId="50" customBuiltin="1"/>
    <cellStyle name="40% - 강조색1" xfId="20" builtinId="31" customBuiltin="1"/>
    <cellStyle name="40% - 강조색2" xfId="24" builtinId="35" customBuiltin="1"/>
    <cellStyle name="40% - 강조색3" xfId="28" builtinId="39" customBuiltin="1"/>
    <cellStyle name="40% - 강조색4" xfId="32" builtinId="43" customBuiltin="1"/>
    <cellStyle name="40% - 강조색5" xfId="36" builtinId="47" customBuiltin="1"/>
    <cellStyle name="40% - 강조색6" xfId="40" builtinId="51" customBuiltin="1"/>
    <cellStyle name="60% - 강조색1" xfId="21" builtinId="32" customBuiltin="1"/>
    <cellStyle name="60% - 강조색2" xfId="25" builtinId="36" customBuiltin="1"/>
    <cellStyle name="60% - 강조색3" xfId="29" builtinId="40" customBuiltin="1"/>
    <cellStyle name="60% - 강조색4" xfId="33" builtinId="44" customBuiltin="1"/>
    <cellStyle name="60% - 강조색5" xfId="37" builtinId="48" customBuiltin="1"/>
    <cellStyle name="60% - 강조색6" xfId="41" builtinId="52" customBuiltin="1"/>
    <cellStyle name="강조색1" xfId="18" builtinId="29" customBuiltin="1"/>
    <cellStyle name="강조색2" xfId="22" builtinId="33" customBuiltin="1"/>
    <cellStyle name="강조색3" xfId="26" builtinId="37" customBuiltin="1"/>
    <cellStyle name="강조색4" xfId="30" builtinId="41" customBuiltin="1"/>
    <cellStyle name="강조색5" xfId="34" builtinId="45" customBuiltin="1"/>
    <cellStyle name="강조색6" xfId="38" builtinId="49" customBuiltin="1"/>
    <cellStyle name="경고문" xfId="14" builtinId="11" customBuiltin="1"/>
    <cellStyle name="계산" xfId="11" builtinId="22" customBuiltin="1"/>
    <cellStyle name="나쁨" xfId="7" builtinId="27" customBuiltin="1"/>
    <cellStyle name="메모" xfId="15" builtinId="10" customBuiltin="1"/>
    <cellStyle name="보통" xfId="8" builtinId="28" customBuiltin="1"/>
    <cellStyle name="설명 텍스트" xfId="16" builtinId="53" customBuiltin="1"/>
    <cellStyle name="셀 확인" xfId="13" builtinId="23" customBuiltin="1"/>
    <cellStyle name="연결된 셀" xfId="12" builtinId="24" customBuiltin="1"/>
    <cellStyle name="요약" xfId="17" builtinId="25" customBuiltin="1"/>
    <cellStyle name="입력" xfId="9" builtinId="20" customBuiltin="1"/>
    <cellStyle name="제목" xfId="1" builtinId="15" customBuiltin="1"/>
    <cellStyle name="제목 1" xfId="2" builtinId="16" customBuiltin="1"/>
    <cellStyle name="제목 2" xfId="3" builtinId="17" customBuiltin="1"/>
    <cellStyle name="제목 3" xfId="4" builtinId="18" customBuiltin="1"/>
    <cellStyle name="제목 4" xfId="5" builtinId="19" customBuiltin="1"/>
    <cellStyle name="좋음" xfId="6" builtinId="26" customBuiltin="1"/>
    <cellStyle name="출력" xfId="10" builtinId="21" customBuiltin="1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0CFF40-79D7-4083-A574-40B751615FC3}">
  <dimension ref="A1:F23"/>
  <sheetViews>
    <sheetView tabSelected="1" workbookViewId="0">
      <selection activeCell="E2" sqref="E2:E21"/>
    </sheetView>
  </sheetViews>
  <sheetFormatPr defaultRowHeight="17" x14ac:dyDescent="0.45"/>
  <cols>
    <col min="2" max="2" width="12" customWidth="1"/>
  </cols>
  <sheetData>
    <row r="1" spans="1:6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45">
      <c r="A2" t="s">
        <v>6</v>
      </c>
      <c r="B2" s="1">
        <v>315609576</v>
      </c>
      <c r="C2">
        <v>290</v>
      </c>
      <c r="D2">
        <v>221</v>
      </c>
      <c r="E2">
        <f>SUM(C2:C5)</f>
        <v>1077</v>
      </c>
      <c r="F2" s="2">
        <f>E2*100000000/B2*5</f>
        <v>1706.2219937204945</v>
      </c>
    </row>
    <row r="3" spans="1:6" x14ac:dyDescent="0.45">
      <c r="A3" t="s">
        <v>7</v>
      </c>
      <c r="B3" s="1">
        <v>315609576</v>
      </c>
      <c r="C3">
        <v>290</v>
      </c>
      <c r="D3">
        <v>221</v>
      </c>
      <c r="E3">
        <f>SUM(C2:C5)</f>
        <v>1077</v>
      </c>
      <c r="F3" s="2">
        <f t="shared" ref="F3:F21" si="0">E3*100000000/B3*5</f>
        <v>1706.2219937204945</v>
      </c>
    </row>
    <row r="4" spans="1:6" x14ac:dyDescent="0.45">
      <c r="A4" t="s">
        <v>8</v>
      </c>
      <c r="B4" s="1">
        <v>315609576</v>
      </c>
      <c r="C4">
        <v>250</v>
      </c>
      <c r="D4">
        <v>205</v>
      </c>
      <c r="E4">
        <f t="shared" ref="E4:E21" si="1">SUM(C3:C6)</f>
        <v>975</v>
      </c>
      <c r="F4" s="2">
        <f t="shared" si="0"/>
        <v>1544.6299386049045</v>
      </c>
    </row>
    <row r="5" spans="1:6" x14ac:dyDescent="0.45">
      <c r="A5" t="s">
        <v>9</v>
      </c>
      <c r="B5" s="1">
        <v>315609576</v>
      </c>
      <c r="C5">
        <v>247</v>
      </c>
      <c r="D5">
        <v>193</v>
      </c>
      <c r="E5">
        <f t="shared" si="1"/>
        <v>968</v>
      </c>
      <c r="F5" s="2">
        <f t="shared" si="0"/>
        <v>1533.5402877636386</v>
      </c>
    </row>
    <row r="6" spans="1:6" x14ac:dyDescent="0.45">
      <c r="A6" t="s">
        <v>10</v>
      </c>
      <c r="B6" s="1">
        <v>315609576</v>
      </c>
      <c r="C6">
        <v>188</v>
      </c>
      <c r="D6">
        <v>188</v>
      </c>
      <c r="E6">
        <f t="shared" si="1"/>
        <v>894</v>
      </c>
      <c r="F6" s="2">
        <f t="shared" si="0"/>
        <v>1416.3068360131126</v>
      </c>
    </row>
    <row r="7" spans="1:6" x14ac:dyDescent="0.45">
      <c r="A7" t="s">
        <v>11</v>
      </c>
      <c r="B7" s="1">
        <v>315609576</v>
      </c>
      <c r="C7">
        <v>283</v>
      </c>
      <c r="D7">
        <v>225</v>
      </c>
      <c r="E7">
        <f t="shared" si="1"/>
        <v>894</v>
      </c>
      <c r="F7" s="2">
        <f t="shared" si="0"/>
        <v>1416.3068360131126</v>
      </c>
    </row>
    <row r="8" spans="1:6" x14ac:dyDescent="0.45">
      <c r="A8" t="s">
        <v>12</v>
      </c>
      <c r="B8" s="1">
        <v>315609576</v>
      </c>
      <c r="C8">
        <v>176</v>
      </c>
      <c r="D8">
        <v>154</v>
      </c>
      <c r="E8">
        <f t="shared" si="1"/>
        <v>903</v>
      </c>
      <c r="F8" s="2">
        <f t="shared" si="0"/>
        <v>1430.5649585233118</v>
      </c>
    </row>
    <row r="9" spans="1:6" x14ac:dyDescent="0.45">
      <c r="A9" t="s">
        <v>13</v>
      </c>
      <c r="B9" s="1">
        <v>315609576</v>
      </c>
      <c r="C9">
        <v>247</v>
      </c>
      <c r="D9">
        <v>200</v>
      </c>
      <c r="E9">
        <f t="shared" si="1"/>
        <v>822</v>
      </c>
      <c r="F9" s="2">
        <f t="shared" si="0"/>
        <v>1302.2418559315197</v>
      </c>
    </row>
    <row r="10" spans="1:6" x14ac:dyDescent="0.45">
      <c r="A10" t="s">
        <v>14</v>
      </c>
      <c r="B10" s="1">
        <v>315609576</v>
      </c>
      <c r="C10">
        <v>197</v>
      </c>
      <c r="D10">
        <v>155</v>
      </c>
      <c r="E10">
        <f t="shared" si="1"/>
        <v>755</v>
      </c>
      <c r="F10" s="2">
        <f t="shared" si="0"/>
        <v>1196.0980550222596</v>
      </c>
    </row>
    <row r="11" spans="1:6" x14ac:dyDescent="0.45">
      <c r="A11" t="s">
        <v>15</v>
      </c>
      <c r="B11" s="1">
        <v>315609576</v>
      </c>
      <c r="C11">
        <v>202</v>
      </c>
      <c r="D11">
        <v>153</v>
      </c>
      <c r="E11">
        <f t="shared" si="1"/>
        <v>741</v>
      </c>
      <c r="F11" s="2">
        <f t="shared" si="0"/>
        <v>1173.9187533397276</v>
      </c>
    </row>
    <row r="12" spans="1:6" x14ac:dyDescent="0.45">
      <c r="A12" t="s">
        <v>16</v>
      </c>
      <c r="B12" s="1">
        <v>315609576</v>
      </c>
      <c r="C12">
        <v>109</v>
      </c>
      <c r="D12">
        <v>55</v>
      </c>
      <c r="E12">
        <f t="shared" si="1"/>
        <v>796</v>
      </c>
      <c r="F12" s="2">
        <f t="shared" si="0"/>
        <v>1261.051724235389</v>
      </c>
    </row>
    <row r="13" spans="1:6" x14ac:dyDescent="0.45">
      <c r="A13" t="s">
        <v>17</v>
      </c>
      <c r="B13" s="1">
        <v>315609576</v>
      </c>
      <c r="C13">
        <v>233</v>
      </c>
      <c r="D13">
        <v>180</v>
      </c>
      <c r="E13">
        <f t="shared" si="1"/>
        <v>889</v>
      </c>
      <c r="F13" s="2">
        <f t="shared" si="0"/>
        <v>1408.3856568407796</v>
      </c>
    </row>
    <row r="14" spans="1:6" x14ac:dyDescent="0.45">
      <c r="A14" t="s">
        <v>18</v>
      </c>
      <c r="B14" s="1">
        <v>315609576</v>
      </c>
      <c r="C14">
        <v>252</v>
      </c>
      <c r="D14">
        <v>190</v>
      </c>
      <c r="E14">
        <f t="shared" si="1"/>
        <v>1024</v>
      </c>
      <c r="F14" s="2">
        <f t="shared" si="0"/>
        <v>1622.2574944937664</v>
      </c>
    </row>
    <row r="15" spans="1:6" x14ac:dyDescent="0.45">
      <c r="A15" t="s">
        <v>19</v>
      </c>
      <c r="B15" s="1">
        <v>315609576</v>
      </c>
      <c r="C15">
        <v>295</v>
      </c>
      <c r="D15">
        <v>225</v>
      </c>
      <c r="E15">
        <f t="shared" si="1"/>
        <v>968</v>
      </c>
      <c r="F15" s="2">
        <f t="shared" si="0"/>
        <v>1533.5402877636386</v>
      </c>
    </row>
    <row r="16" spans="1:6" x14ac:dyDescent="0.45">
      <c r="A16" t="s">
        <v>20</v>
      </c>
      <c r="B16" s="1">
        <v>315609576</v>
      </c>
      <c r="C16">
        <v>244</v>
      </c>
      <c r="D16">
        <v>171</v>
      </c>
      <c r="E16">
        <f t="shared" si="1"/>
        <v>881</v>
      </c>
      <c r="F16" s="2">
        <f t="shared" si="0"/>
        <v>1395.7117701650473</v>
      </c>
    </row>
    <row r="17" spans="1:6" x14ac:dyDescent="0.45">
      <c r="A17" t="s">
        <v>21</v>
      </c>
      <c r="B17" s="1">
        <v>315609576</v>
      </c>
      <c r="C17">
        <v>177</v>
      </c>
      <c r="D17">
        <v>130</v>
      </c>
      <c r="E17">
        <f t="shared" si="1"/>
        <v>747</v>
      </c>
      <c r="F17" s="2">
        <f t="shared" si="0"/>
        <v>1183.424168346527</v>
      </c>
    </row>
    <row r="18" spans="1:6" x14ac:dyDescent="0.45">
      <c r="A18" t="s">
        <v>22</v>
      </c>
      <c r="B18" s="1">
        <v>315609576</v>
      </c>
      <c r="C18">
        <v>165</v>
      </c>
      <c r="D18">
        <v>115</v>
      </c>
      <c r="E18">
        <f t="shared" si="1"/>
        <v>616</v>
      </c>
      <c r="F18" s="2">
        <f t="shared" si="0"/>
        <v>975.88927403140644</v>
      </c>
    </row>
    <row r="19" spans="1:6" x14ac:dyDescent="0.45">
      <c r="A19" t="s">
        <v>23</v>
      </c>
      <c r="B19" s="1">
        <v>315609576</v>
      </c>
      <c r="C19">
        <v>161</v>
      </c>
      <c r="D19">
        <v>115</v>
      </c>
      <c r="E19">
        <f t="shared" si="1"/>
        <v>554</v>
      </c>
      <c r="F19" s="2">
        <f t="shared" si="0"/>
        <v>877.66665229447926</v>
      </c>
    </row>
    <row r="20" spans="1:6" x14ac:dyDescent="0.45">
      <c r="A20" t="s">
        <v>24</v>
      </c>
      <c r="B20" s="1">
        <v>315609576</v>
      </c>
      <c r="C20">
        <v>113</v>
      </c>
      <c r="D20">
        <v>81</v>
      </c>
      <c r="E20">
        <f t="shared" si="1"/>
        <v>487</v>
      </c>
      <c r="F20" s="2">
        <f t="shared" si="0"/>
        <v>771.52285138521904</v>
      </c>
    </row>
    <row r="21" spans="1:6" x14ac:dyDescent="0.45">
      <c r="A21" t="s">
        <v>25</v>
      </c>
      <c r="B21" s="1">
        <v>315609576</v>
      </c>
      <c r="C21">
        <v>115</v>
      </c>
      <c r="D21">
        <v>87</v>
      </c>
      <c r="E21">
        <f t="shared" si="1"/>
        <v>421</v>
      </c>
      <c r="F21" s="2">
        <f t="shared" si="0"/>
        <v>666.96328631042547</v>
      </c>
    </row>
    <row r="22" spans="1:6" x14ac:dyDescent="0.45">
      <c r="A22" t="s">
        <v>26</v>
      </c>
      <c r="B22" s="1">
        <v>315609576</v>
      </c>
      <c r="C22">
        <v>98</v>
      </c>
      <c r="D22">
        <v>81</v>
      </c>
    </row>
    <row r="23" spans="1:6" x14ac:dyDescent="0.45">
      <c r="A23" t="s">
        <v>27</v>
      </c>
      <c r="B23" s="1">
        <v>315609576</v>
      </c>
      <c r="C23">
        <v>95</v>
      </c>
      <c r="D23">
        <v>71</v>
      </c>
    </row>
  </sheetData>
  <phoneticPr fontId="18" type="noConversion"/>
  <pageMargins left="0.7" right="0.7" top="0.75" bottom="0.75" header="0.3" footer="0.3"/>
  <ignoredErrors>
    <ignoredError sqref="E2:E21" formulaRange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한국캐피탈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김해중</cp:lastModifiedBy>
  <dcterms:created xsi:type="dcterms:W3CDTF">2025-07-13T00:36:23Z</dcterms:created>
  <dcterms:modified xsi:type="dcterms:W3CDTF">2025-07-13T02:15:05Z</dcterms:modified>
</cp:coreProperties>
</file>