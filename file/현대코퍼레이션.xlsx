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9E6B6E98-9E55-423D-B642-762C0C55EAC6}" xr6:coauthVersionLast="47" xr6:coauthVersionMax="47" xr10:uidLastSave="{00000000-0000-0000-0000-000000000000}"/>
  <bookViews>
    <workbookView xWindow="7350" yWindow="3710" windowWidth="28800" windowHeight="19030" xr2:uid="{574589F6-5CF4-430A-9C77-3C46C2002903}"/>
  </bookViews>
  <sheets>
    <sheet name="현대코퍼레이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5" i="1"/>
  <c r="E6" i="1"/>
  <c r="E7" i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E18" i="1"/>
  <c r="F18" i="1" s="1"/>
  <c r="E19" i="1"/>
  <c r="E20" i="1"/>
  <c r="F20" i="1" s="1"/>
  <c r="E21" i="1"/>
  <c r="F21" i="1" s="1"/>
  <c r="E22" i="1"/>
  <c r="F22" i="1" s="1"/>
  <c r="E4" i="1"/>
  <c r="F4" i="1" s="1"/>
  <c r="E2" i="1"/>
  <c r="F2" i="1" s="1"/>
  <c r="F5" i="1"/>
  <c r="F6" i="1"/>
  <c r="F7" i="1"/>
  <c r="F17" i="1"/>
  <c r="F19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<sst xmlns="http://schemas.openxmlformats.org/spreadsheetml/2006/main" count="28" uniqueCount="28">
  <si>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</si>
  <si>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</si>
  <si>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</si>
  <si>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</si>
  <si>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</si>
  <si>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</si>
  <si>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</si>
  <si>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</si>
  <si>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</si>
  <si>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</si>
  <si>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</si>
  <si>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</si>
  <si>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</si>
  <si>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</si>
  <si>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</si>
  <si>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</si>
  <si>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</si>
  <si>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</si>
  <si>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</si>
  <si>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</si>
  <si>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</si>
  <si>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</si>
  <si>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</si>
  <si>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</si>
  <si>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</si>
  <si>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2020.3Q</t>
    <phoneticPr fontId="18" type="noConversion"/>
  </si>
  <si>
    <t>2025.3Q</t>
    <phoneticPr fontId="18" type="noConversion"/>
  </si>
  <si>
    <t>2025.4Q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</si>
</sst>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14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5"/>
  <sheetViews>
    <sheetView tabSelected="1" workbookViewId="0">
      <selection activeCell="C2" sqref="C2:D2"/>
    </sheetView>
  </sheetViews>
  <sheetFormatPr defaultRowHeight="17" x14ac:dyDescent="0.45"/>
  <cols>
    <col min="2" max="2" width="10.25" bestFit="1" customWidth="1"/>
    <col min="5" max="5" width="12.83203125" customWidth="1"/>
    <col min="6" max="6" width="8.25" bestFit="1" customWidth="1"/>
  </cols>
  <sheetData>
    <row r="1" spans="1:6" x14ac:dyDescent="0.45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 x14ac:dyDescent="0.45">
      <c r="A2" t="s">
        <v>27</v>
      </c>
      <c r="B2" s="1">
        <v>13228966</v>
      </c>
      <c r="C2" s="4">
        <v>397</v>
      </c>
      <c r="D2" s="4">
        <v>304</v>
      </c>
      <c r="E2">
        <f>(C2*2+C3*2)</f>
        <v>1588</v>
      </c>
      <c r="F2" s="2">
        <f>E2*100000000/B2*20</f>
        <v>240079.23219395982</v>
      </c>
    </row>
    <row r="3" spans="1:6" x14ac:dyDescent="0.45">
      <c r="A3" t="s">
        <v>26</v>
      </c>
      <c r="B3" s="3">
        <v>13228966</v>
      </c>
      <c r="C3" s="4">
        <v>397</v>
      </c>
      <c r="D3" s="4">
        <v>304</v>
      </c>
      <c r="E3">
        <f>(C2*2+C3*2)</f>
        <v>1588</v>
      </c>
      <c r="F3" s="2">
        <f t="shared" ref="F3:F22" si="0">E3*100000000/B3*20</f>
        <v>240079.23219395982</v>
      </c>
    </row>
    <row r="4" spans="1:6" x14ac:dyDescent="0.45">
      <c r="A4" t="s">
        <v>21</v>
      </c>
      <c r="B4" s="3">
        <v>13228966</v>
      </c>
      <c r="C4" s="4">
        <v>375</v>
      </c>
      <c r="D4" s="4">
        <v>308</v>
      </c>
      <c r="E4">
        <f>(C2*1+C3*1+C4*2)</f>
        <v>1544</v>
      </c>
      <c r="F4" s="2">
        <f t="shared" si="0"/>
        <v>233427.16278808186</v>
      </c>
    </row>
    <row r="5" spans="1:6" x14ac:dyDescent="0.45">
      <c r="A5" t="s">
        <v>3</v>
      </c>
      <c r="B5" s="3">
        <v>13228966</v>
      </c>
      <c r="C5" s="4">
        <v>369</v>
      </c>
      <c r="D5" s="4">
        <v>238</v>
      </c>
      <c r="E5">
        <f t="shared" ref="E5:E22" si="1">(C3*1+C4*1+C5*2)</f>
        <v>1510</v>
      </c>
      <c r="F5" s="2">
        <f t="shared" si="0"/>
        <v>228286.92733808522</v>
      </c>
    </row>
    <row r="6" spans="1:6" x14ac:dyDescent="0.45">
      <c r="A6" t="s">
        <v>4</v>
      </c>
      <c r="B6" s="3">
        <v>13228966</v>
      </c>
      <c r="C6" s="1">
        <v>318</v>
      </c>
      <c r="D6" s="1">
        <v>158</v>
      </c>
      <c r="E6">
        <f t="shared" si="1"/>
        <v>1380</v>
      </c>
      <c r="F6" s="2">
        <f t="shared" si="0"/>
        <v>208633.08591162757</v>
      </c>
    </row>
    <row r="7" spans="1:6" x14ac:dyDescent="0.45">
      <c r="A7" t="s">
        <v>5</v>
      </c>
      <c r="B7" s="3">
        <v>13228966</v>
      </c>
      <c r="C7" s="1">
        <v>372</v>
      </c>
      <c r="D7" s="1">
        <v>397</v>
      </c>
      <c r="E7">
        <f t="shared" si="1"/>
        <v>1431</v>
      </c>
      <c r="F7" s="2">
        <f t="shared" si="0"/>
        <v>216343.4390866225</v>
      </c>
    </row>
    <row r="8" spans="1:6" x14ac:dyDescent="0.45">
      <c r="A8" t="s">
        <v>6</v>
      </c>
      <c r="B8" s="3">
        <v>13228966</v>
      </c>
      <c r="C8" s="1">
        <v>365</v>
      </c>
      <c r="D8" s="1">
        <v>308</v>
      </c>
      <c r="E8">
        <f t="shared" si="1"/>
        <v>1420</v>
      </c>
      <c r="F8" s="2">
        <f t="shared" si="0"/>
        <v>214680.42173515301</v>
      </c>
    </row>
    <row r="9" spans="1:6" x14ac:dyDescent="0.45">
      <c r="A9" t="s">
        <v>7</v>
      </c>
      <c r="B9" s="3">
        <v>13228966</v>
      </c>
      <c r="C9" s="1">
        <v>280</v>
      </c>
      <c r="D9" s="1">
        <v>347</v>
      </c>
      <c r="E9">
        <f t="shared" si="1"/>
        <v>1297</v>
      </c>
      <c r="F9" s="2">
        <f t="shared" si="0"/>
        <v>196084.86407781226</v>
      </c>
    </row>
    <row r="10" spans="1:6" x14ac:dyDescent="0.45">
      <c r="A10" t="s">
        <v>8</v>
      </c>
      <c r="B10" s="3">
        <v>13228966</v>
      </c>
      <c r="C10" s="1">
        <v>198</v>
      </c>
      <c r="D10" s="1">
        <v>97</v>
      </c>
      <c r="E10">
        <f t="shared" si="1"/>
        <v>1041</v>
      </c>
      <c r="F10" s="2">
        <f t="shared" si="0"/>
        <v>157381.9148072495</v>
      </c>
    </row>
    <row r="11" spans="1:6" x14ac:dyDescent="0.45">
      <c r="A11" t="s">
        <v>9</v>
      </c>
      <c r="B11" s="3">
        <v>13228966</v>
      </c>
      <c r="C11" s="1">
        <v>268</v>
      </c>
      <c r="D11" s="3">
        <v>221</v>
      </c>
      <c r="E11">
        <f t="shared" si="1"/>
        <v>1014</v>
      </c>
      <c r="F11" s="2">
        <f t="shared" si="0"/>
        <v>153299.96312636981</v>
      </c>
    </row>
    <row r="12" spans="1:6" x14ac:dyDescent="0.45">
      <c r="A12" t="s">
        <v>10</v>
      </c>
      <c r="B12" s="3">
        <v>13228966</v>
      </c>
      <c r="C12" s="3">
        <v>270</v>
      </c>
      <c r="D12" s="1">
        <v>244</v>
      </c>
      <c r="E12">
        <f t="shared" si="1"/>
        <v>1006</v>
      </c>
      <c r="F12" s="2">
        <f t="shared" si="0"/>
        <v>152090.49596166474</v>
      </c>
    </row>
    <row r="13" spans="1:6" x14ac:dyDescent="0.45">
      <c r="A13" t="s">
        <v>11</v>
      </c>
      <c r="B13" s="3">
        <v>13228966</v>
      </c>
      <c r="C13" s="3">
        <v>257</v>
      </c>
      <c r="D13" s="3">
        <v>271</v>
      </c>
      <c r="E13">
        <f t="shared" si="1"/>
        <v>1052</v>
      </c>
      <c r="F13" s="2">
        <f t="shared" si="0"/>
        <v>159044.93215871899</v>
      </c>
    </row>
    <row r="14" spans="1:6" x14ac:dyDescent="0.45">
      <c r="A14" t="s">
        <v>12</v>
      </c>
      <c r="B14" s="3">
        <v>13228966</v>
      </c>
      <c r="C14">
        <v>85</v>
      </c>
      <c r="D14" s="1">
        <v>-216</v>
      </c>
      <c r="E14">
        <f t="shared" si="1"/>
        <v>697</v>
      </c>
      <c r="F14" s="2">
        <f t="shared" si="0"/>
        <v>105374.82672493074</v>
      </c>
    </row>
    <row r="15" spans="1:6" x14ac:dyDescent="0.45">
      <c r="A15" t="s">
        <v>13</v>
      </c>
      <c r="B15" s="3">
        <v>13228966</v>
      </c>
      <c r="C15" s="1">
        <v>229</v>
      </c>
      <c r="D15" s="1">
        <v>492</v>
      </c>
      <c r="E15">
        <f t="shared" si="1"/>
        <v>800</v>
      </c>
      <c r="F15" s="2">
        <f t="shared" si="0"/>
        <v>120946.71647050872</v>
      </c>
    </row>
    <row r="16" spans="1:6" x14ac:dyDescent="0.45">
      <c r="A16" t="s">
        <v>14</v>
      </c>
      <c r="B16" s="3">
        <v>13228966</v>
      </c>
      <c r="C16" s="1">
        <v>208</v>
      </c>
      <c r="D16" s="1">
        <v>266</v>
      </c>
      <c r="E16">
        <f t="shared" si="1"/>
        <v>730</v>
      </c>
      <c r="F16" s="2">
        <f t="shared" si="0"/>
        <v>110363.87877933921</v>
      </c>
    </row>
    <row r="17" spans="1:6" x14ac:dyDescent="0.45">
      <c r="A17" t="s">
        <v>15</v>
      </c>
      <c r="B17" s="3">
        <v>13228966</v>
      </c>
      <c r="C17" s="1">
        <v>145</v>
      </c>
      <c r="D17" s="1">
        <v>244</v>
      </c>
      <c r="E17">
        <f t="shared" si="1"/>
        <v>727</v>
      </c>
      <c r="F17" s="2">
        <f t="shared" si="0"/>
        <v>109910.32859257481</v>
      </c>
    </row>
    <row r="18" spans="1:6" x14ac:dyDescent="0.45">
      <c r="A18" t="s">
        <v>16</v>
      </c>
      <c r="B18" s="3">
        <v>13228966</v>
      </c>
      <c r="C18" s="1">
        <v>106</v>
      </c>
      <c r="D18" s="1">
        <v>105</v>
      </c>
      <c r="E18">
        <f t="shared" si="1"/>
        <v>565</v>
      </c>
      <c r="F18" s="2">
        <f t="shared" si="0"/>
        <v>85418.618507296793</v>
      </c>
    </row>
    <row r="19" spans="1:6" x14ac:dyDescent="0.45">
      <c r="A19" t="s">
        <v>17</v>
      </c>
      <c r="B19" s="3">
        <v>13228966</v>
      </c>
      <c r="C19" s="1">
        <v>108</v>
      </c>
      <c r="D19" s="1">
        <v>98</v>
      </c>
      <c r="E19">
        <f t="shared" si="1"/>
        <v>467</v>
      </c>
      <c r="F19" s="2">
        <f t="shared" si="0"/>
        <v>70602.645739659478</v>
      </c>
    </row>
    <row r="20" spans="1:6" x14ac:dyDescent="0.45">
      <c r="A20" t="s">
        <v>18</v>
      </c>
      <c r="B20" s="3">
        <v>13228966</v>
      </c>
      <c r="C20" s="1">
        <v>67</v>
      </c>
      <c r="D20" s="1">
        <v>59</v>
      </c>
      <c r="E20">
        <f t="shared" si="1"/>
        <v>348</v>
      </c>
      <c r="F20" s="2">
        <f t="shared" si="0"/>
        <v>52611.821664671297</v>
      </c>
    </row>
    <row r="21" spans="1:6" x14ac:dyDescent="0.45">
      <c r="A21" t="s">
        <v>19</v>
      </c>
      <c r="B21" s="3">
        <v>13228966</v>
      </c>
      <c r="C21" s="1">
        <v>70</v>
      </c>
      <c r="D21" s="1">
        <v>118</v>
      </c>
      <c r="E21">
        <f t="shared" si="1"/>
        <v>315</v>
      </c>
      <c r="F21" s="2">
        <f t="shared" si="0"/>
        <v>47622.769610262811</v>
      </c>
    </row>
    <row r="22" spans="1:6" x14ac:dyDescent="0.45">
      <c r="A22" t="s">
        <v>20</v>
      </c>
      <c r="B22" s="3">
        <v>13228966</v>
      </c>
      <c r="C22">
        <v>63</v>
      </c>
      <c r="D22">
        <v>223</v>
      </c>
      <c r="E22">
        <f t="shared" si="1"/>
        <v>263</v>
      </c>
      <c r="F22" s="2">
        <f t="shared" si="0"/>
        <v>39761.233039679748</v>
      </c>
    </row>
    <row r="23" spans="1:6" x14ac:dyDescent="0.45">
      <c r="A23" t="s">
        <v>25</v>
      </c>
      <c r="B23" s="3">
        <v>13228966</v>
      </c>
      <c r="C23" s="1">
        <v>89</v>
      </c>
      <c r="D23" s="1">
        <v>65</v>
      </c>
      <c r="F23" s="2"/>
    </row>
    <row r="24" spans="1:6" x14ac:dyDescent="0.45">
      <c r="B24" s="3"/>
      <c r="C24" s="3"/>
      <c r="D24" s="3"/>
      <c r="F24" s="2"/>
    </row>
    <row r="25" spans="1:6" x14ac:dyDescent="0.45">
      <c r="B25" s="3"/>
      <c r="C25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현대코퍼레이션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2025-07-13T02:02:06Z</dcterms:modified>
</cp:coreProperties>
</file>