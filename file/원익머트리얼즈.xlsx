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0. JupyterNotebook\Finance\"/>
    </mc:Choice>
  </mc:AlternateContent>
  <xr:revisionPtr revIDLastSave="0" documentId="13_ncr:1_{DC030354-87D1-4E61-8DF3-8EFAA17C5882}" xr6:coauthVersionLast="47" xr6:coauthVersionMax="47" xr10:uidLastSave="{00000000-0000-0000-0000-000000000000}"/>
  <bookViews>
    <workbookView xWindow="833" yWindow="2775" windowWidth="19199" windowHeight="8580" xr2:uid="{002A8747-0106-4F6D-B316-39C53CF00339}"/>
  </bookViews>
  <sheets>
    <sheet name="원익머트리얼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4" i="1"/>
  <c r="F4" i="1" s="1"/>
  <c r="E3" i="1"/>
  <c r="F3" i="1" s="1"/>
  <c r="E2" i="1"/>
  <c r="F2" i="1" s="1"/>
  <c r="F9" i="1"/>
  <c r="F10" i="1"/>
  <c r="F11" i="1"/>
  <c r="F12" i="1"/>
  <c r="F13" i="1"/>
  <c r="F14" i="1"/>
  <c r="F15" i="1"/>
  <c r="F16" i="1"/>
  <c r="F17" i="1"/>
  <c r="F18" i="1"/>
  <c r="E26" i="1"/>
  <c r="E25" i="1"/>
  <c r="F25" i="1" s="1"/>
  <c r="E24" i="1"/>
  <c r="F24" i="1" s="1"/>
  <c r="E23" i="1"/>
  <c r="F23" i="1" s="1"/>
  <c r="E22" i="1"/>
  <c r="F22" i="1" s="1"/>
  <c r="E21" i="1"/>
  <c r="F21" i="1" s="1"/>
  <c r="E20" i="1"/>
  <c r="F20" i="1" s="1"/>
  <c r="E19" i="1"/>
  <c r="F19" i="1" s="1"/>
  <c r="E18" i="1"/>
  <c r="E17" i="1"/>
  <c r="E16" i="1"/>
  <c r="E15" i="1"/>
  <c r="E14" i="1"/>
  <c r="E13" i="1"/>
  <c r="E12" i="1"/>
  <c r="E11" i="1"/>
  <c r="E10" i="1"/>
  <c r="E9" i="1"/>
  <c r="E8" i="1"/>
  <c r="F8" i="1" s="1"/>
  <c r="E7" i="1"/>
  <c r="F7" i="1" s="1"/>
  <c r="E6" i="1"/>
  <c r="F6" i="1" s="1"/>
  <c r="F5" i="1"/>
</calcChain>
</file>

<file path=xl/sharedStrings.xml><?xml version="1.0" encoding="utf-8"?>
<sst xmlns="http://schemas.openxmlformats.org/spreadsheetml/2006/main" count="32" uniqueCount="32">
  <si>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</si>
  <si>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</si>
  <si>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</si>
  <si>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</si>
  <si>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</si>
  <si>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</si>
  <si>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</si>
  <si>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</si>
  <si>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</si>
  <si>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</si>
  <si>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</si>
  <si>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</si>
  <si>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</si>
  <si>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</si>
  <si>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</si>
  <si>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</si>
  <si>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</si>
  <si>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</si>
  <si>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</si>
  <si>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</si>
  <si>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</si>
  <si>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2020.3Q</t>
  </si>
  <si>
    <t>2020.2Q</t>
  </si>
  <si>
    <t>2020.1Q</t>
  </si>
  <si>
    <t>2025.2Q</t>
    <phoneticPr fontId="18" type="noConversion"/>
  </si>
  <si>
    <t>상장주식수</t>
  </si>
  <si>
    <t>4Q_income</t>
  </si>
  <si>
    <t>목표가</t>
  </si>
  <si>
    <t>2025.3Q</t>
    <phoneticPr fontId="18" type="noConversion"/>
  </si>
  <si>
    <t>2025.4Q</t>
    <phoneticPr fontId="18" type="noConversion"/>
  </si>
  <si>
    <t>2026.1Q</t>
    <phoneticPr fontId="18" type="noConversion"/>
  </si>
  <si>
    <t>2026.2Q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</si>
</sst>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7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1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0" fillId="33" borderId="0" xfId="0" applyFill="1">
      <alignment vertical="center"/>
    </xf>
    <xf numFmtId="3" fontId="0" fillId="33" borderId="0" xfId="0" applyNumberFormat="1" applyFill="1">
      <alignment vertical="center"/>
    </xf>
    <xf numFmtId="0" fontId="19" fillId="0" borderId="0" xfId="0" applyFont="1">
      <alignment vertical="center"/>
    </xf>
    <xf numFmtId="0" fontId="14" fillId="33" borderId="0" xfId="0" applyFont="1" applyFill="1">
      <alignment vertical="center"/>
    </xf>
    <xf numFmtId="41" fontId="0" fillId="33" borderId="0" xfId="42" applyFon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DA8C-5386-4355-9AFA-24FDDC76C81C}">
  <dimension ref="A1:F27"/>
  <sheetViews>
    <sheetView tabSelected="1" workbookViewId="0">
      <selection activeCell="H7" sqref="H7"/>
    </sheetView>
  </sheetViews>
  <sheetFormatPr defaultRowHeight="16.899999999999999" x14ac:dyDescent="0.6"/>
  <cols>
    <col min="2" max="2" width="10.25" bestFit="1" customWidth="1"/>
  </cols>
  <sheetData>
    <row r="1" spans="1:6" x14ac:dyDescent="0.6">
      <c r="A1" t="s">
        <v>0</v>
      </c>
      <c r="B1" t="s">
        <v>25</v>
      </c>
      <c r="C1" t="s">
        <v>1</v>
      </c>
      <c r="D1" t="s">
        <v>2</v>
      </c>
      <c r="E1" t="s">
        <v>26</v>
      </c>
      <c r="F1" t="s">
        <v>27</v>
      </c>
    </row>
    <row r="2" spans="1:6" x14ac:dyDescent="0.6">
      <c r="A2" s="3" t="s">
        <v>31</v>
      </c>
      <c r="B2" s="4">
        <v>12608000</v>
      </c>
      <c r="C2" s="6">
        <v>150</v>
      </c>
      <c r="D2" s="3">
        <v>127</v>
      </c>
      <c r="E2" s="3">
        <f>(C2*2+C3*2)</f>
        <v>632</v>
      </c>
      <c r="F2" s="7">
        <f>E2*100000000/B2*8</f>
        <v>40101.522842639592</v>
      </c>
    </row>
    <row r="3" spans="1:6" x14ac:dyDescent="0.6">
      <c r="A3" s="3" t="s">
        <v>30</v>
      </c>
      <c r="B3" s="4">
        <v>12608000</v>
      </c>
      <c r="C3" s="6">
        <v>166</v>
      </c>
      <c r="D3" s="3">
        <v>134</v>
      </c>
      <c r="E3" s="3">
        <f>(C3*2+C2*2)</f>
        <v>632</v>
      </c>
      <c r="F3" s="7">
        <f>E3*100000000/B3*8</f>
        <v>40101.522842639592</v>
      </c>
    </row>
    <row r="4" spans="1:6" x14ac:dyDescent="0.6">
      <c r="A4" s="3" t="s">
        <v>29</v>
      </c>
      <c r="B4" s="4">
        <v>12608000</v>
      </c>
      <c r="C4" s="6">
        <v>149.5</v>
      </c>
      <c r="D4" s="3">
        <v>77</v>
      </c>
      <c r="E4" s="3">
        <f t="shared" ref="E4:E5" si="0">(C2+C3+C4*2)</f>
        <v>615</v>
      </c>
      <c r="F4" s="7">
        <f t="shared" ref="F4:F25" si="1">E4*100000000/B4*8</f>
        <v>39022.84263959391</v>
      </c>
    </row>
    <row r="5" spans="1:6" x14ac:dyDescent="0.6">
      <c r="A5" t="s">
        <v>28</v>
      </c>
      <c r="B5" s="2">
        <v>12608000</v>
      </c>
      <c r="C5" s="5">
        <v>141</v>
      </c>
      <c r="D5">
        <v>125</v>
      </c>
      <c r="E5">
        <f t="shared" si="0"/>
        <v>597.5</v>
      </c>
      <c r="F5" s="7">
        <f t="shared" si="1"/>
        <v>37912.436548223348</v>
      </c>
    </row>
    <row r="6" spans="1:6" x14ac:dyDescent="0.6">
      <c r="A6" t="s">
        <v>24</v>
      </c>
      <c r="B6" s="2">
        <v>12608000</v>
      </c>
      <c r="C6">
        <v>113</v>
      </c>
      <c r="D6">
        <v>99.4</v>
      </c>
      <c r="E6">
        <f>(C4+C5+C6*2)</f>
        <v>516.5</v>
      </c>
      <c r="F6" s="7">
        <f t="shared" si="1"/>
        <v>32772.84263959391</v>
      </c>
    </row>
    <row r="7" spans="1:6" x14ac:dyDescent="0.6">
      <c r="A7" t="s">
        <v>3</v>
      </c>
      <c r="B7" s="2">
        <v>12608000</v>
      </c>
      <c r="C7">
        <v>147</v>
      </c>
      <c r="D7">
        <v>121</v>
      </c>
      <c r="E7">
        <f t="shared" ref="E7:E26" si="2">(C5+C6+C7*2)</f>
        <v>548</v>
      </c>
      <c r="F7" s="7">
        <f t="shared" si="1"/>
        <v>34771.573604060912</v>
      </c>
    </row>
    <row r="8" spans="1:6" x14ac:dyDescent="0.6">
      <c r="A8" t="s">
        <v>4</v>
      </c>
      <c r="B8" s="2">
        <v>12608000</v>
      </c>
      <c r="C8">
        <v>126</v>
      </c>
      <c r="D8">
        <v>-4</v>
      </c>
      <c r="E8">
        <f t="shared" si="2"/>
        <v>512</v>
      </c>
      <c r="F8" s="7">
        <f t="shared" si="1"/>
        <v>32487.309644670051</v>
      </c>
    </row>
    <row r="9" spans="1:6" x14ac:dyDescent="0.6">
      <c r="A9" t="s">
        <v>5</v>
      </c>
      <c r="B9" s="2">
        <v>12608000</v>
      </c>
      <c r="C9">
        <v>120</v>
      </c>
      <c r="D9">
        <v>91</v>
      </c>
      <c r="E9">
        <f t="shared" si="2"/>
        <v>513</v>
      </c>
      <c r="F9" s="7">
        <f t="shared" si="1"/>
        <v>32550.761421319796</v>
      </c>
    </row>
    <row r="10" spans="1:6" x14ac:dyDescent="0.6">
      <c r="A10" t="s">
        <v>6</v>
      </c>
      <c r="B10" s="2">
        <v>12608000</v>
      </c>
      <c r="C10">
        <v>159</v>
      </c>
      <c r="D10">
        <v>139</v>
      </c>
      <c r="E10">
        <f t="shared" si="2"/>
        <v>564</v>
      </c>
      <c r="F10" s="7">
        <f t="shared" si="1"/>
        <v>35786.802030456856</v>
      </c>
    </row>
    <row r="11" spans="1:6" x14ac:dyDescent="0.6">
      <c r="A11" t="s">
        <v>7</v>
      </c>
      <c r="B11" s="2">
        <v>12608000</v>
      </c>
      <c r="C11">
        <v>114</v>
      </c>
      <c r="D11">
        <v>92</v>
      </c>
      <c r="E11">
        <f t="shared" si="2"/>
        <v>507</v>
      </c>
      <c r="F11" s="7">
        <f t="shared" si="1"/>
        <v>32170.05076142132</v>
      </c>
    </row>
    <row r="12" spans="1:6" x14ac:dyDescent="0.6">
      <c r="A12" t="s">
        <v>8</v>
      </c>
      <c r="B12" s="2">
        <v>12608000</v>
      </c>
      <c r="C12">
        <v>69</v>
      </c>
      <c r="D12">
        <v>-37</v>
      </c>
      <c r="E12">
        <f t="shared" si="2"/>
        <v>411</v>
      </c>
      <c r="F12" s="7">
        <f t="shared" si="1"/>
        <v>26078.680203045686</v>
      </c>
    </row>
    <row r="13" spans="1:6" x14ac:dyDescent="0.6">
      <c r="A13" t="s">
        <v>9</v>
      </c>
      <c r="B13" s="2">
        <v>12608000</v>
      </c>
      <c r="C13">
        <v>41</v>
      </c>
      <c r="D13">
        <v>43</v>
      </c>
      <c r="E13">
        <f t="shared" si="2"/>
        <v>265</v>
      </c>
      <c r="F13" s="7">
        <f t="shared" si="1"/>
        <v>16814.720812182743</v>
      </c>
    </row>
    <row r="14" spans="1:6" x14ac:dyDescent="0.6">
      <c r="A14" t="s">
        <v>10</v>
      </c>
      <c r="B14" s="2">
        <v>12608000</v>
      </c>
      <c r="C14">
        <v>50</v>
      </c>
      <c r="D14">
        <v>44</v>
      </c>
      <c r="E14">
        <f t="shared" si="2"/>
        <v>210</v>
      </c>
      <c r="F14" s="7">
        <f t="shared" si="1"/>
        <v>13324.873096446701</v>
      </c>
    </row>
    <row r="15" spans="1:6" x14ac:dyDescent="0.6">
      <c r="A15" t="s">
        <v>11</v>
      </c>
      <c r="B15" s="2">
        <v>12608000</v>
      </c>
      <c r="C15">
        <v>87</v>
      </c>
      <c r="D15">
        <v>88</v>
      </c>
      <c r="E15">
        <f t="shared" si="2"/>
        <v>265</v>
      </c>
      <c r="F15" s="7">
        <f t="shared" si="1"/>
        <v>16814.720812182743</v>
      </c>
    </row>
    <row r="16" spans="1:6" x14ac:dyDescent="0.6">
      <c r="A16" t="s">
        <v>12</v>
      </c>
      <c r="B16" s="2">
        <v>12608000</v>
      </c>
      <c r="C16">
        <v>240</v>
      </c>
      <c r="D16">
        <v>18</v>
      </c>
      <c r="E16">
        <f t="shared" si="2"/>
        <v>617</v>
      </c>
      <c r="F16" s="7">
        <f t="shared" si="1"/>
        <v>39149.746192893399</v>
      </c>
    </row>
    <row r="17" spans="1:6" x14ac:dyDescent="0.6">
      <c r="A17" t="s">
        <v>13</v>
      </c>
      <c r="B17" s="2">
        <v>12608000</v>
      </c>
      <c r="C17">
        <v>258</v>
      </c>
      <c r="D17">
        <v>210</v>
      </c>
      <c r="E17">
        <f t="shared" si="2"/>
        <v>843</v>
      </c>
      <c r="F17" s="7">
        <f t="shared" si="1"/>
        <v>53489.847715736039</v>
      </c>
    </row>
    <row r="18" spans="1:6" x14ac:dyDescent="0.6">
      <c r="A18" t="s">
        <v>14</v>
      </c>
      <c r="B18" s="2">
        <v>12608000</v>
      </c>
      <c r="C18">
        <v>230</v>
      </c>
      <c r="D18">
        <v>203</v>
      </c>
      <c r="E18">
        <f t="shared" si="2"/>
        <v>958</v>
      </c>
      <c r="F18" s="7">
        <f t="shared" si="1"/>
        <v>60786.802030456856</v>
      </c>
    </row>
    <row r="19" spans="1:6" x14ac:dyDescent="0.6">
      <c r="A19" t="s">
        <v>15</v>
      </c>
      <c r="B19" s="2">
        <v>12608000</v>
      </c>
      <c r="C19">
        <v>159</v>
      </c>
      <c r="D19">
        <v>146</v>
      </c>
      <c r="E19">
        <f t="shared" si="2"/>
        <v>806</v>
      </c>
      <c r="F19" s="7">
        <f t="shared" si="1"/>
        <v>51142.131979695434</v>
      </c>
    </row>
    <row r="20" spans="1:6" x14ac:dyDescent="0.6">
      <c r="A20" t="s">
        <v>16</v>
      </c>
      <c r="B20" s="2">
        <v>12608000</v>
      </c>
      <c r="C20">
        <v>136</v>
      </c>
      <c r="D20">
        <v>61</v>
      </c>
      <c r="E20">
        <f t="shared" si="2"/>
        <v>661</v>
      </c>
      <c r="F20" s="7">
        <f t="shared" si="1"/>
        <v>41941.624365482232</v>
      </c>
    </row>
    <row r="21" spans="1:6" x14ac:dyDescent="0.6">
      <c r="A21" t="s">
        <v>17</v>
      </c>
      <c r="B21" s="2">
        <v>12608000</v>
      </c>
      <c r="C21">
        <v>143</v>
      </c>
      <c r="D21">
        <v>132</v>
      </c>
      <c r="E21">
        <f t="shared" si="2"/>
        <v>581</v>
      </c>
      <c r="F21" s="7">
        <f t="shared" si="1"/>
        <v>36865.482233502538</v>
      </c>
    </row>
    <row r="22" spans="1:6" x14ac:dyDescent="0.6">
      <c r="A22" t="s">
        <v>18</v>
      </c>
      <c r="B22" s="2">
        <v>12608000</v>
      </c>
      <c r="C22">
        <v>122</v>
      </c>
      <c r="D22">
        <v>223</v>
      </c>
      <c r="E22">
        <f t="shared" si="2"/>
        <v>523</v>
      </c>
      <c r="F22" s="7">
        <f t="shared" si="1"/>
        <v>33185.279187817257</v>
      </c>
    </row>
    <row r="23" spans="1:6" x14ac:dyDescent="0.6">
      <c r="A23" t="s">
        <v>19</v>
      </c>
      <c r="B23" s="2">
        <v>12608000</v>
      </c>
      <c r="C23">
        <v>105</v>
      </c>
      <c r="D23">
        <v>113</v>
      </c>
      <c r="E23">
        <f t="shared" si="2"/>
        <v>475</v>
      </c>
      <c r="F23" s="7">
        <f t="shared" si="1"/>
        <v>30139.593908629442</v>
      </c>
    </row>
    <row r="24" spans="1:6" x14ac:dyDescent="0.6">
      <c r="A24" t="s">
        <v>20</v>
      </c>
      <c r="B24" s="2">
        <v>12608000</v>
      </c>
      <c r="C24">
        <v>101</v>
      </c>
      <c r="D24">
        <v>105</v>
      </c>
      <c r="E24">
        <f t="shared" si="2"/>
        <v>429</v>
      </c>
      <c r="F24" s="7">
        <f t="shared" si="1"/>
        <v>27220.812182741116</v>
      </c>
    </row>
    <row r="25" spans="1:6" x14ac:dyDescent="0.6">
      <c r="A25" t="s">
        <v>21</v>
      </c>
      <c r="B25" s="2">
        <v>12608000</v>
      </c>
      <c r="C25">
        <v>133</v>
      </c>
      <c r="D25">
        <v>122</v>
      </c>
      <c r="E25">
        <f t="shared" si="2"/>
        <v>472</v>
      </c>
      <c r="F25" s="7">
        <f t="shared" si="1"/>
        <v>29949.238578680204</v>
      </c>
    </row>
    <row r="26" spans="1:6" x14ac:dyDescent="0.6">
      <c r="A26" t="s">
        <v>22</v>
      </c>
      <c r="B26" s="2">
        <v>12608000</v>
      </c>
      <c r="C26">
        <v>116</v>
      </c>
      <c r="D26">
        <v>21</v>
      </c>
      <c r="E26">
        <f t="shared" si="2"/>
        <v>466</v>
      </c>
      <c r="F26" s="1"/>
    </row>
    <row r="27" spans="1:6" x14ac:dyDescent="0.6">
      <c r="A27" t="s">
        <v>23</v>
      </c>
      <c r="B27" s="2">
        <v>12608000</v>
      </c>
      <c r="C27">
        <v>108</v>
      </c>
      <c r="D27">
        <v>84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원익머트리얼즈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ieguru</cp:lastModifiedBy>
  <dcterms:created xsi:type="dcterms:W3CDTF">2025-01-28T11:12:13Z</dcterms:created>
  <dcterms:modified xsi:type="dcterms:W3CDTF">2026-02-04T12:37:34Z</dcterms:modified>
</cp:coreProperties>
</file>