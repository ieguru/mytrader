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476F9B05-71FA-41B6-9ABF-ED64D62F965B}" xr6:coauthVersionLast="47" xr6:coauthVersionMax="47" xr10:uidLastSave="{00000000-0000-0000-0000-000000000000}"/>
  <bookViews>
    <workbookView xWindow="833" yWindow="2775" windowWidth="19199" windowHeight="11722" xr2:uid="{5EFB8893-07F0-48A1-BF34-0749AA107469}"/>
  </bookViews>
  <sheets>
    <sheet name="녹십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F6" i="1" s="1"/>
  <c r="E5" i="1"/>
  <c r="F5" i="1" s="1"/>
  <c r="E4" i="1"/>
  <c r="F4" i="1" s="1"/>
  <c r="E3" i="1"/>
  <c r="F3" i="1" s="1"/>
  <c r="E2" i="1"/>
  <c r="F2" i="1" s="1"/>
</calcChain>
</file>

<file path=xl/sharedStrings.xml><?xml version="1.0" encoding="utf-8"?>
<sst xmlns="http://schemas.openxmlformats.org/spreadsheetml/2006/main" count="32" uniqueCount="32">
  <si>
    <t>분기</t>
  </si>
  <si>
    <t>영업이익</t>
  </si>
  <si>
    <t>순이익</t>
  </si>
  <si>
    <t>4Q_income</t>
  </si>
  <si>
    <t>목표가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</si>
  <si>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</si>
  <si>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</si>
  <si>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</si>
  <si>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</si>
  <si>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</si>
  <si>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</si>
  <si>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</si>
  <si>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</si>
  <si>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</si>
  <si>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</si>
  <si>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</si>
  <si>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</si>
  <si>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</si>
  <si>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</si>
  <si>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</si>
  <si>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</si>
  <si>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</si>
  <si>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</si>
  <si>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</si>
  <si>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</si>
  <si>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</si>
  <si>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상장주식수</t>
  </si>
  <si>
    <t>2025.4Q</t>
    <phoneticPr fontId="18" type="noConversion"/>
  </si>
  <si>
    <t>2025.3Q</t>
    <phoneticPr fontId="18" type="noConversion"/>
  </si>
  <si>
    <t>2025.2Q</t>
    <phoneticPr fontId="18" type="noConversion"/>
  </si>
  <si>
    <t>2026.2Q</t>
    <phoneticPr fontId="18" type="noConversion"/>
  </si>
  <si>
    <t>2026.1Q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</si>
</sst>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33" borderId="10" xfId="0" applyFill="1" applyBorder="1">
      <alignment vertical="center"/>
    </xf>
    <xf numFmtId="176" fontId="0" fillId="0" borderId="0" xfId="42" applyNumberFormat="1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C0BA9-6333-4231-91F3-22E017BC1F0C}">
  <dimension ref="A1:F27"/>
  <sheetViews>
    <sheetView tabSelected="1" workbookViewId="0">
      <selection activeCell="F2" sqref="F2"/>
    </sheetView>
  </sheetViews>
  <sheetFormatPr defaultRowHeight="16.899999999999999" x14ac:dyDescent="0.6"/>
  <cols>
    <col min="2" max="2" width="12.5" customWidth="1"/>
  </cols>
  <sheetData>
    <row r="1" spans="1:6" x14ac:dyDescent="0.6">
      <c r="A1" t="s">
        <v>0</v>
      </c>
      <c r="B1" t="s">
        <v>26</v>
      </c>
      <c r="C1" t="s">
        <v>1</v>
      </c>
      <c r="D1" t="s">
        <v>2</v>
      </c>
      <c r="E1" t="s">
        <v>3</v>
      </c>
      <c r="F1" t="s">
        <v>4</v>
      </c>
    </row>
    <row r="2" spans="1:6" x14ac:dyDescent="0.6">
      <c r="A2" s="1" t="s">
        <v>30</v>
      </c>
      <c r="B2" s="3">
        <v>47028210</v>
      </c>
      <c r="C2" s="3">
        <v>318</v>
      </c>
      <c r="D2" s="3">
        <v>176</v>
      </c>
      <c r="E2" s="3">
        <f>(C2*2+C3*2)</f>
        <v>888</v>
      </c>
      <c r="F2" s="3">
        <f>E2*100000000/B2*20</f>
        <v>37764.567267178572</v>
      </c>
    </row>
    <row r="3" spans="1:6" x14ac:dyDescent="0.6">
      <c r="A3" s="1" t="s">
        <v>31</v>
      </c>
      <c r="B3" s="3">
        <v>47028210</v>
      </c>
      <c r="C3" s="3">
        <v>126</v>
      </c>
      <c r="D3" s="3">
        <v>71</v>
      </c>
      <c r="E3" s="3">
        <f>(C2*2+C3*2)</f>
        <v>888</v>
      </c>
      <c r="F3" s="3">
        <f t="shared" ref="F3:F25" si="0">E3*100000000/B3*20</f>
        <v>37764.567267178572</v>
      </c>
    </row>
    <row r="4" spans="1:6" ht="18" customHeight="1" x14ac:dyDescent="0.6">
      <c r="A4" s="2" t="s">
        <v>27</v>
      </c>
      <c r="B4" s="3">
        <v>47028210</v>
      </c>
      <c r="C4" s="3">
        <v>10</v>
      </c>
      <c r="D4" s="3">
        <v>-25</v>
      </c>
      <c r="E4" s="3">
        <f>(C3*2+C4+C2)</f>
        <v>580</v>
      </c>
      <c r="F4" s="3">
        <f t="shared" si="0"/>
        <v>24666.046188022043</v>
      </c>
    </row>
    <row r="5" spans="1:6" ht="18" customHeight="1" x14ac:dyDescent="0.6">
      <c r="A5" s="1" t="s">
        <v>28</v>
      </c>
      <c r="B5" s="3">
        <v>47028210</v>
      </c>
      <c r="C5" s="3">
        <v>292</v>
      </c>
      <c r="D5" s="3">
        <v>160</v>
      </c>
      <c r="E5" s="3">
        <f>(C3+C4+C5*2)</f>
        <v>720</v>
      </c>
      <c r="F5" s="3">
        <f t="shared" si="0"/>
        <v>30619.919405820467</v>
      </c>
    </row>
    <row r="6" spans="1:6" x14ac:dyDescent="0.6">
      <c r="A6" s="1" t="s">
        <v>29</v>
      </c>
      <c r="B6" s="3">
        <v>47028210</v>
      </c>
      <c r="C6" s="3">
        <v>273</v>
      </c>
      <c r="D6" s="3">
        <v>380</v>
      </c>
      <c r="E6" s="3">
        <f t="shared" ref="E6:E25" si="1">(C4+C5+C6*2)</f>
        <v>848</v>
      </c>
      <c r="F6" s="3">
        <f t="shared" si="0"/>
        <v>36063.460633521885</v>
      </c>
    </row>
    <row r="7" spans="1:6" x14ac:dyDescent="0.6">
      <c r="A7" s="1" t="s">
        <v>5</v>
      </c>
      <c r="B7" s="3">
        <v>47028210</v>
      </c>
      <c r="C7" s="3">
        <v>80</v>
      </c>
      <c r="D7" s="3">
        <v>297</v>
      </c>
      <c r="E7" s="3">
        <f t="shared" si="1"/>
        <v>725</v>
      </c>
      <c r="F7" s="3">
        <f t="shared" si="0"/>
        <v>30832.557735027549</v>
      </c>
    </row>
    <row r="8" spans="1:6" x14ac:dyDescent="0.6">
      <c r="A8" s="1" t="s">
        <v>6</v>
      </c>
      <c r="B8" s="3">
        <v>47028210</v>
      </c>
      <c r="C8" s="3">
        <v>-101</v>
      </c>
      <c r="D8" s="3">
        <v>-272</v>
      </c>
      <c r="E8" s="3">
        <f t="shared" si="1"/>
        <v>151</v>
      </c>
      <c r="F8" s="3">
        <f t="shared" si="0"/>
        <v>6421.6775420540134</v>
      </c>
    </row>
    <row r="9" spans="1:6" x14ac:dyDescent="0.6">
      <c r="A9" s="1" t="s">
        <v>7</v>
      </c>
      <c r="B9" s="3">
        <v>47028210</v>
      </c>
      <c r="C9" s="3">
        <v>396</v>
      </c>
      <c r="D9" s="3">
        <v>358</v>
      </c>
      <c r="E9" s="3">
        <f t="shared" si="1"/>
        <v>771</v>
      </c>
      <c r="F9" s="3">
        <f t="shared" si="0"/>
        <v>32788.830363732748</v>
      </c>
    </row>
    <row r="10" spans="1:6" x14ac:dyDescent="0.6">
      <c r="A10" s="1" t="s">
        <v>8</v>
      </c>
      <c r="B10" s="3">
        <v>47028210</v>
      </c>
      <c r="C10" s="3">
        <v>176</v>
      </c>
      <c r="D10" s="3">
        <v>-91</v>
      </c>
      <c r="E10" s="3">
        <f t="shared" si="1"/>
        <v>647</v>
      </c>
      <c r="F10" s="3">
        <f t="shared" si="0"/>
        <v>27515.399799397001</v>
      </c>
    </row>
    <row r="11" spans="1:6" x14ac:dyDescent="0.6">
      <c r="A11" s="1" t="s">
        <v>9</v>
      </c>
      <c r="B11" s="3">
        <v>47028210</v>
      </c>
      <c r="C11" s="3">
        <v>-150</v>
      </c>
      <c r="D11" s="3">
        <v>-307</v>
      </c>
      <c r="E11" s="3">
        <f t="shared" si="1"/>
        <v>272</v>
      </c>
      <c r="F11" s="3">
        <f t="shared" si="0"/>
        <v>11567.52510886551</v>
      </c>
    </row>
    <row r="12" spans="1:6" x14ac:dyDescent="0.6">
      <c r="A12" s="1" t="s">
        <v>10</v>
      </c>
      <c r="B12" s="3">
        <v>47028210</v>
      </c>
      <c r="C12" s="3">
        <v>-84</v>
      </c>
      <c r="D12" s="3">
        <v>-186</v>
      </c>
      <c r="E12" s="3">
        <f t="shared" si="1"/>
        <v>-142</v>
      </c>
      <c r="F12" s="3">
        <f t="shared" si="0"/>
        <v>-6038.9285494812575</v>
      </c>
    </row>
    <row r="13" spans="1:6" x14ac:dyDescent="0.6">
      <c r="A13" s="1" t="s">
        <v>11</v>
      </c>
      <c r="B13" s="3">
        <v>47028210</v>
      </c>
      <c r="C13" s="3">
        <v>328</v>
      </c>
      <c r="D13" s="3">
        <v>183</v>
      </c>
      <c r="E13" s="3">
        <f t="shared" si="1"/>
        <v>422</v>
      </c>
      <c r="F13" s="3">
        <f t="shared" si="0"/>
        <v>17946.674985078105</v>
      </c>
    </row>
    <row r="14" spans="1:6" x14ac:dyDescent="0.6">
      <c r="A14" t="s">
        <v>12</v>
      </c>
      <c r="B14" s="3">
        <v>47028210</v>
      </c>
      <c r="C14" s="3">
        <v>237</v>
      </c>
      <c r="D14" s="3">
        <v>27</v>
      </c>
      <c r="E14" s="3">
        <f t="shared" si="1"/>
        <v>718</v>
      </c>
      <c r="F14" s="3">
        <f t="shared" si="0"/>
        <v>30534.864074137629</v>
      </c>
    </row>
    <row r="15" spans="1:6" x14ac:dyDescent="0.6">
      <c r="A15" t="s">
        <v>13</v>
      </c>
      <c r="B15" s="3">
        <v>47028210</v>
      </c>
      <c r="C15" s="3">
        <v>-136</v>
      </c>
      <c r="D15" s="3">
        <v>-221</v>
      </c>
      <c r="E15" s="3">
        <f t="shared" si="1"/>
        <v>293</v>
      </c>
      <c r="F15" s="3">
        <f t="shared" si="0"/>
        <v>12460.606091535272</v>
      </c>
    </row>
    <row r="16" spans="1:6" x14ac:dyDescent="0.6">
      <c r="A16" t="s">
        <v>14</v>
      </c>
      <c r="B16" s="3">
        <v>47028210</v>
      </c>
      <c r="C16" s="3">
        <v>-224</v>
      </c>
      <c r="D16" s="3">
        <v>-19</v>
      </c>
      <c r="E16" s="3">
        <f t="shared" si="1"/>
        <v>-347</v>
      </c>
      <c r="F16" s="3">
        <f t="shared" si="0"/>
        <v>-14757.100046971807</v>
      </c>
    </row>
    <row r="17" spans="1:6" x14ac:dyDescent="0.6">
      <c r="A17" t="s">
        <v>15</v>
      </c>
      <c r="B17" s="3">
        <v>47028210</v>
      </c>
      <c r="C17" s="3">
        <v>488</v>
      </c>
      <c r="D17" s="3">
        <v>424</v>
      </c>
      <c r="E17" s="3">
        <f t="shared" si="1"/>
        <v>616</v>
      </c>
      <c r="F17" s="3">
        <f t="shared" si="0"/>
        <v>26197.042158313066</v>
      </c>
    </row>
    <row r="18" spans="1:6" x14ac:dyDescent="0.6">
      <c r="A18" t="s">
        <v>16</v>
      </c>
      <c r="B18" s="3">
        <v>47028210</v>
      </c>
      <c r="C18" s="3">
        <v>131</v>
      </c>
      <c r="D18" s="3">
        <v>109</v>
      </c>
      <c r="E18" s="3">
        <f t="shared" si="1"/>
        <v>526</v>
      </c>
      <c r="F18" s="3">
        <f t="shared" si="0"/>
        <v>22369.552232585505</v>
      </c>
    </row>
    <row r="19" spans="1:6" x14ac:dyDescent="0.6">
      <c r="A19" t="s">
        <v>17</v>
      </c>
      <c r="B19" s="3">
        <v>47028210</v>
      </c>
      <c r="C19" s="3">
        <v>418</v>
      </c>
      <c r="D19" s="3">
        <v>180</v>
      </c>
      <c r="E19" s="3">
        <f t="shared" si="1"/>
        <v>1455</v>
      </c>
      <c r="F19" s="3">
        <f t="shared" si="0"/>
        <v>61877.753799262195</v>
      </c>
    </row>
    <row r="20" spans="1:6" x14ac:dyDescent="0.6">
      <c r="A20" t="s">
        <v>18</v>
      </c>
      <c r="B20" s="3">
        <v>47028210</v>
      </c>
      <c r="C20" s="3">
        <v>-139</v>
      </c>
      <c r="D20" s="3">
        <v>539</v>
      </c>
      <c r="E20" s="3">
        <f t="shared" si="1"/>
        <v>271</v>
      </c>
      <c r="F20" s="3">
        <f t="shared" si="0"/>
        <v>11524.997443024093</v>
      </c>
    </row>
    <row r="21" spans="1:6" x14ac:dyDescent="0.6">
      <c r="A21" t="s">
        <v>19</v>
      </c>
      <c r="B21" s="3">
        <v>47028210</v>
      </c>
      <c r="C21" s="3">
        <v>715</v>
      </c>
      <c r="D21" s="3">
        <v>581</v>
      </c>
      <c r="E21" s="3">
        <f t="shared" si="1"/>
        <v>1709</v>
      </c>
      <c r="F21" s="3">
        <f t="shared" si="0"/>
        <v>72679.780922982187</v>
      </c>
    </row>
    <row r="22" spans="1:6" x14ac:dyDescent="0.6">
      <c r="A22" t="s">
        <v>20</v>
      </c>
      <c r="B22" s="3">
        <v>47028210</v>
      </c>
      <c r="C22" s="3">
        <v>111</v>
      </c>
      <c r="D22" s="3">
        <v>75</v>
      </c>
      <c r="E22" s="3">
        <f t="shared" si="1"/>
        <v>798</v>
      </c>
      <c r="F22" s="3">
        <f t="shared" si="0"/>
        <v>33937.077341451011</v>
      </c>
    </row>
    <row r="23" spans="1:6" x14ac:dyDescent="0.6">
      <c r="A23" t="s">
        <v>21</v>
      </c>
      <c r="B23" s="3">
        <v>47028210</v>
      </c>
      <c r="C23" s="3">
        <v>50</v>
      </c>
      <c r="D23" s="3">
        <v>175</v>
      </c>
      <c r="E23" s="3">
        <f t="shared" si="1"/>
        <v>926</v>
      </c>
      <c r="F23" s="3">
        <f t="shared" si="0"/>
        <v>39380.61856915243</v>
      </c>
    </row>
    <row r="24" spans="1:6" x14ac:dyDescent="0.6">
      <c r="A24" t="s">
        <v>22</v>
      </c>
      <c r="B24" s="3">
        <v>47028210</v>
      </c>
      <c r="C24" s="3">
        <v>-222</v>
      </c>
      <c r="D24" s="3">
        <v>160</v>
      </c>
      <c r="E24" s="3">
        <f t="shared" si="1"/>
        <v>-283</v>
      </c>
      <c r="F24" s="3">
        <f t="shared" si="0"/>
        <v>-12035.329433121098</v>
      </c>
    </row>
    <row r="25" spans="1:6" x14ac:dyDescent="0.6">
      <c r="A25" t="s">
        <v>23</v>
      </c>
      <c r="B25" s="3">
        <v>47028210</v>
      </c>
      <c r="C25" s="3">
        <v>507</v>
      </c>
      <c r="D25" s="3">
        <v>634</v>
      </c>
      <c r="E25" s="3">
        <f t="shared" si="1"/>
        <v>842</v>
      </c>
      <c r="F25" s="3">
        <f t="shared" si="0"/>
        <v>35808.294638473373</v>
      </c>
    </row>
    <row r="26" spans="1:6" x14ac:dyDescent="0.6">
      <c r="A26" t="s">
        <v>24</v>
      </c>
      <c r="B26" s="3">
        <v>47028210</v>
      </c>
      <c r="C26" s="3">
        <v>156</v>
      </c>
      <c r="D26" s="3">
        <v>139</v>
      </c>
      <c r="E26" s="3"/>
      <c r="F26" s="3"/>
    </row>
    <row r="27" spans="1:6" x14ac:dyDescent="0.6">
      <c r="A27" t="s">
        <v>25</v>
      </c>
      <c r="B27" s="3">
        <v>47028210</v>
      </c>
      <c r="C27" s="3">
        <v>61</v>
      </c>
      <c r="D27" s="3">
        <v>-40</v>
      </c>
      <c r="E27" s="3"/>
      <c r="F27" s="3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녹십자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ieguru</cp:lastModifiedBy>
  <dcterms:created xsi:type="dcterms:W3CDTF">2025-01-31T15:09:36Z</dcterms:created>
  <dcterms:modified xsi:type="dcterms:W3CDTF">2026-02-04T12:41:25Z</dcterms:modified>
</cp:coreProperties>
</file>