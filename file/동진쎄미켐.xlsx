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769F1B5A-712B-4FA5-80F2-9DED9AC28ED5}" xr6:coauthVersionLast="47" xr6:coauthVersionMax="47" xr10:uidLastSave="{00000000-0000-0000-0000-000000000000}"/>
  <bookViews>
    <workbookView xWindow="1778" yWindow="1778" windowWidth="13807" windowHeight="9960" xr2:uid="{5EFB8893-07F0-48A1-BF34-0749AA107469}"/>
  </bookViews>
  <sheets>
    <sheet name="동진쎄미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<sst xmlns="http://schemas.openxmlformats.org/spreadsheetml/2006/main" count="32" uniqueCount="32">
  <si>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</si>
  <si>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</si>
  <si>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</si>
  <si>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4Q_income</t>
  </si>
  <si>
    <t>목표가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</si>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</sst>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0BA9-6333-4231-91F3-22E017BC1F0C}">
  <dimension ref="A1:F27"/>
  <sheetViews>
    <sheetView tabSelected="1" workbookViewId="0">
      <selection activeCell="D9" sqref="D9"/>
    </sheetView>
  </sheetViews>
  <sheetFormatPr defaultRowHeight="16.899999999999999" x14ac:dyDescent="0.6"/>
  <cols>
    <col min="2" max="2" width="12.5" customWidth="1"/>
  </cols>
  <sheetData>
    <row r="1" spans="1:6" x14ac:dyDescent="0.6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</row>
    <row r="2" spans="1:6" x14ac:dyDescent="0.6">
      <c r="A2" s="2" t="s">
        <v>27</v>
      </c>
      <c r="B2" s="1">
        <v>51414494</v>
      </c>
      <c r="E2">
        <f>(C2*2+C3*2)</f>
        <v>0</v>
      </c>
      <c r="F2">
        <f>E2*100000000/B2*15</f>
        <v>0</v>
      </c>
    </row>
    <row r="3" spans="1:6" x14ac:dyDescent="0.6">
      <c r="A3" s="2" t="s">
        <v>28</v>
      </c>
      <c r="B3" s="1">
        <v>51414494</v>
      </c>
      <c r="E3">
        <f>(C2*2+C3*2)</f>
        <v>0</v>
      </c>
      <c r="F3">
        <f t="shared" ref="F3:F25" si="0">E3*100000000/B3*15</f>
        <v>0</v>
      </c>
    </row>
    <row r="4" spans="1:6" x14ac:dyDescent="0.6">
      <c r="A4" s="3" t="s">
        <v>29</v>
      </c>
      <c r="B4" s="1">
        <v>51414494</v>
      </c>
      <c r="C4">
        <v>421</v>
      </c>
      <c r="E4">
        <f>(C3*2+C4+C2)</f>
        <v>421</v>
      </c>
      <c r="F4">
        <f t="shared" si="0"/>
        <v>12282.528735963055</v>
      </c>
    </row>
    <row r="5" spans="1:6" x14ac:dyDescent="0.6">
      <c r="A5" s="2" t="s">
        <v>30</v>
      </c>
      <c r="B5" s="1">
        <v>51414494</v>
      </c>
      <c r="C5">
        <v>403</v>
      </c>
      <c r="D5">
        <v>236</v>
      </c>
      <c r="E5">
        <f>(C3+C4+C5*2)</f>
        <v>1227</v>
      </c>
      <c r="F5">
        <f t="shared" si="0"/>
        <v>35797.298715027711</v>
      </c>
    </row>
    <row r="6" spans="1:6" x14ac:dyDescent="0.6">
      <c r="A6" s="2" t="s">
        <v>31</v>
      </c>
      <c r="B6" s="1">
        <v>51414494</v>
      </c>
      <c r="C6">
        <v>538</v>
      </c>
      <c r="D6">
        <v>68</v>
      </c>
      <c r="E6">
        <f t="shared" ref="E6:E25" si="1">(C4+C5+C6*2)</f>
        <v>1900</v>
      </c>
      <c r="F6">
        <f t="shared" si="0"/>
        <v>55431.839901020903</v>
      </c>
    </row>
    <row r="7" spans="1:6" x14ac:dyDescent="0.6">
      <c r="A7" s="2" t="s">
        <v>5</v>
      </c>
      <c r="B7" s="1">
        <v>51414494</v>
      </c>
      <c r="C7">
        <v>584</v>
      </c>
      <c r="D7">
        <v>374</v>
      </c>
      <c r="E7">
        <f t="shared" si="1"/>
        <v>2109</v>
      </c>
      <c r="F7">
        <f t="shared" si="0"/>
        <v>61529.342290133201</v>
      </c>
    </row>
    <row r="8" spans="1:6" x14ac:dyDescent="0.6">
      <c r="A8" s="2" t="s">
        <v>6</v>
      </c>
      <c r="B8" s="1">
        <v>51414494</v>
      </c>
      <c r="C8">
        <v>741.8</v>
      </c>
      <c r="D8">
        <v>379</v>
      </c>
      <c r="E8">
        <f t="shared" si="1"/>
        <v>2605.6</v>
      </c>
      <c r="F8">
        <f t="shared" si="0"/>
        <v>76017.474761105303</v>
      </c>
    </row>
    <row r="9" spans="1:6" x14ac:dyDescent="0.6">
      <c r="A9" s="2" t="s">
        <v>7</v>
      </c>
      <c r="B9" s="1">
        <v>51414494</v>
      </c>
      <c r="C9">
        <v>471</v>
      </c>
      <c r="D9">
        <v>366</v>
      </c>
      <c r="E9">
        <f t="shared" si="1"/>
        <v>2267.8000000000002</v>
      </c>
      <c r="F9">
        <f t="shared" si="0"/>
        <v>66162.277119755396</v>
      </c>
    </row>
    <row r="10" spans="1:6" x14ac:dyDescent="0.6">
      <c r="A10" s="2" t="s">
        <v>8</v>
      </c>
      <c r="B10" s="1">
        <v>51414494</v>
      </c>
      <c r="C10">
        <v>366</v>
      </c>
      <c r="D10">
        <v>242</v>
      </c>
      <c r="E10">
        <f t="shared" si="1"/>
        <v>1944.8</v>
      </c>
      <c r="F10">
        <f t="shared" si="0"/>
        <v>56738.864336581821</v>
      </c>
    </row>
    <row r="11" spans="1:6" x14ac:dyDescent="0.6">
      <c r="A11" s="2" t="s">
        <v>9</v>
      </c>
      <c r="B11" s="1">
        <v>51414494</v>
      </c>
      <c r="C11">
        <v>428</v>
      </c>
      <c r="D11">
        <v>324</v>
      </c>
      <c r="E11">
        <f t="shared" si="1"/>
        <v>1693</v>
      </c>
      <c r="F11">
        <f t="shared" si="0"/>
        <v>49392.686817067573</v>
      </c>
    </row>
    <row r="12" spans="1:6" x14ac:dyDescent="0.6">
      <c r="A12" s="2" t="s">
        <v>10</v>
      </c>
      <c r="B12" s="1">
        <v>51414494</v>
      </c>
      <c r="C12">
        <v>456</v>
      </c>
      <c r="D12">
        <v>256</v>
      </c>
      <c r="E12">
        <f t="shared" si="1"/>
        <v>1706</v>
      </c>
      <c r="F12">
        <f t="shared" si="0"/>
        <v>49771.95730060088</v>
      </c>
    </row>
    <row r="13" spans="1:6" x14ac:dyDescent="0.6">
      <c r="A13" s="2" t="s">
        <v>11</v>
      </c>
      <c r="B13" s="1">
        <v>51414494</v>
      </c>
      <c r="C13">
        <v>512</v>
      </c>
      <c r="D13">
        <v>413</v>
      </c>
      <c r="E13">
        <f t="shared" si="1"/>
        <v>1908</v>
      </c>
      <c r="F13">
        <f t="shared" si="0"/>
        <v>55665.237121656784</v>
      </c>
    </row>
    <row r="14" spans="1:6" x14ac:dyDescent="0.6">
      <c r="A14" t="s">
        <v>12</v>
      </c>
      <c r="B14" s="1">
        <v>51414494</v>
      </c>
      <c r="C14">
        <v>581</v>
      </c>
      <c r="D14">
        <v>267</v>
      </c>
      <c r="E14">
        <f t="shared" si="1"/>
        <v>2130</v>
      </c>
      <c r="F14">
        <f t="shared" si="0"/>
        <v>62142.009994302382</v>
      </c>
    </row>
    <row r="15" spans="1:6" x14ac:dyDescent="0.6">
      <c r="A15" t="s">
        <v>13</v>
      </c>
      <c r="B15" s="1">
        <v>51414494</v>
      </c>
      <c r="C15">
        <v>624</v>
      </c>
      <c r="D15">
        <v>537</v>
      </c>
      <c r="E15">
        <f t="shared" si="1"/>
        <v>2341</v>
      </c>
      <c r="F15">
        <f t="shared" si="0"/>
        <v>68297.861688573656</v>
      </c>
    </row>
    <row r="16" spans="1:6" x14ac:dyDescent="0.6">
      <c r="A16" t="s">
        <v>14</v>
      </c>
      <c r="B16" s="1">
        <v>51414494</v>
      </c>
      <c r="C16">
        <v>487</v>
      </c>
      <c r="D16">
        <v>379</v>
      </c>
      <c r="E16">
        <f t="shared" si="1"/>
        <v>2179</v>
      </c>
      <c r="F16">
        <f t="shared" si="0"/>
        <v>63571.567970697128</v>
      </c>
    </row>
    <row r="17" spans="1:6" x14ac:dyDescent="0.6">
      <c r="A17" t="s">
        <v>15</v>
      </c>
      <c r="B17" s="1">
        <v>51414494</v>
      </c>
      <c r="C17">
        <v>471</v>
      </c>
      <c r="D17">
        <v>379</v>
      </c>
      <c r="E17">
        <f t="shared" si="1"/>
        <v>2053</v>
      </c>
      <c r="F17">
        <f t="shared" si="0"/>
        <v>59895.561745682062</v>
      </c>
    </row>
    <row r="18" spans="1:6" x14ac:dyDescent="0.6">
      <c r="A18" t="s">
        <v>16</v>
      </c>
      <c r="B18" s="1">
        <v>51414494</v>
      </c>
      <c r="C18">
        <v>400</v>
      </c>
      <c r="D18">
        <v>285</v>
      </c>
      <c r="E18">
        <f t="shared" si="1"/>
        <v>1758</v>
      </c>
      <c r="F18">
        <f t="shared" si="0"/>
        <v>51289.039234734082</v>
      </c>
    </row>
    <row r="19" spans="1:6" x14ac:dyDescent="0.6">
      <c r="A19" t="s">
        <v>17</v>
      </c>
      <c r="B19" s="1">
        <v>51414494</v>
      </c>
      <c r="C19">
        <v>348</v>
      </c>
      <c r="D19">
        <v>309</v>
      </c>
      <c r="E19">
        <f t="shared" si="1"/>
        <v>1567</v>
      </c>
      <c r="F19">
        <f t="shared" si="0"/>
        <v>45716.6805920525</v>
      </c>
    </row>
    <row r="20" spans="1:6" x14ac:dyDescent="0.6">
      <c r="A20" t="s">
        <v>18</v>
      </c>
      <c r="B20" s="1">
        <v>51414494</v>
      </c>
      <c r="C20">
        <v>284</v>
      </c>
      <c r="D20">
        <v>191</v>
      </c>
      <c r="E20">
        <f t="shared" si="1"/>
        <v>1316</v>
      </c>
      <c r="F20">
        <f t="shared" si="0"/>
        <v>38393.842794601849</v>
      </c>
    </row>
    <row r="21" spans="1:6" x14ac:dyDescent="0.6">
      <c r="A21" t="s">
        <v>19</v>
      </c>
      <c r="B21" s="1">
        <v>51414494</v>
      </c>
      <c r="C21">
        <v>286</v>
      </c>
      <c r="D21">
        <v>244</v>
      </c>
      <c r="E21">
        <f t="shared" si="1"/>
        <v>1204</v>
      </c>
      <c r="F21">
        <f t="shared" si="0"/>
        <v>35126.28170569957</v>
      </c>
    </row>
    <row r="22" spans="1:6" x14ac:dyDescent="0.6">
      <c r="A22" t="s">
        <v>20</v>
      </c>
      <c r="B22" s="1">
        <v>51414494</v>
      </c>
      <c r="C22">
        <v>308</v>
      </c>
      <c r="D22">
        <v>70</v>
      </c>
      <c r="E22">
        <f t="shared" si="1"/>
        <v>1186</v>
      </c>
      <c r="F22">
        <f t="shared" si="0"/>
        <v>34601.137959268839</v>
      </c>
    </row>
    <row r="23" spans="1:6" x14ac:dyDescent="0.6">
      <c r="A23" t="s">
        <v>21</v>
      </c>
      <c r="B23" s="1">
        <v>51414494</v>
      </c>
      <c r="C23">
        <v>348</v>
      </c>
      <c r="D23">
        <v>246</v>
      </c>
      <c r="E23">
        <f t="shared" si="1"/>
        <v>1290</v>
      </c>
      <c r="F23">
        <f t="shared" si="0"/>
        <v>37635.301827535252</v>
      </c>
    </row>
    <row r="24" spans="1:6" x14ac:dyDescent="0.6">
      <c r="A24" t="s">
        <v>22</v>
      </c>
      <c r="B24" s="1">
        <v>51414494</v>
      </c>
      <c r="C24">
        <v>292</v>
      </c>
      <c r="D24">
        <v>289</v>
      </c>
      <c r="E24">
        <f t="shared" si="1"/>
        <v>1240</v>
      </c>
      <c r="F24">
        <f t="shared" si="0"/>
        <v>36176.56919856101</v>
      </c>
    </row>
    <row r="25" spans="1:6" x14ac:dyDescent="0.6">
      <c r="A25" t="s">
        <v>23</v>
      </c>
      <c r="B25" s="1">
        <v>51414494</v>
      </c>
      <c r="C25">
        <v>314</v>
      </c>
      <c r="D25">
        <v>247</v>
      </c>
      <c r="E25">
        <f t="shared" si="1"/>
        <v>1268</v>
      </c>
      <c r="F25">
        <f t="shared" si="0"/>
        <v>36993.459470786584</v>
      </c>
    </row>
    <row r="26" spans="1:6" x14ac:dyDescent="0.6">
      <c r="A26" t="s">
        <v>24</v>
      </c>
      <c r="B26" s="1">
        <v>51414494</v>
      </c>
      <c r="C26">
        <v>312</v>
      </c>
      <c r="D26">
        <v>71</v>
      </c>
    </row>
    <row r="27" spans="1:6" x14ac:dyDescent="0.6">
      <c r="A27" t="s">
        <v>25</v>
      </c>
      <c r="B27" s="1">
        <v>51414494</v>
      </c>
      <c r="C27">
        <v>249</v>
      </c>
      <c r="D27">
        <v>177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동진쎄미켐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2025-01-31T15:09:36Z</dcterms:created>
  <dcterms:modified xsi:type="dcterms:W3CDTF">2026-01-11T05:02:02Z</dcterms:modified>
</cp:coreProperties>
</file>