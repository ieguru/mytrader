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53C95425-FEBC-415A-9966-28FAE1E292E7}" xr6:coauthVersionLast="47" xr6:coauthVersionMax="47" xr10:uidLastSave="{00000000-0000-0000-0000-000000000000}"/>
  <bookViews>
    <workbookView xWindow="-98" yWindow="-98" windowWidth="28996" windowHeight="15675" xr2:uid="{C8D1CA31-9A8D-48BC-97FC-23CBA29A2F93}"/>
  </bookViews>
  <sheets>
    <sheet name="신영증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E4" i="1"/>
  <c r="F4" i="1" s="1"/>
  <c r="E3" i="1"/>
  <c r="F3" i="1" s="1"/>
  <c r="E2" i="1"/>
  <c r="F2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E6" i="1"/>
  <c r="F6" i="1" s="1"/>
  <c r="E5" i="1"/>
  <c r="F5" i="1" s="1"/>
</calcChain>
</file>

<file path=xl/sharedStrings.xml><?xml version="1.0" encoding="utf-8"?>
<sst xmlns="http://schemas.openxmlformats.org/spreadsheetml/2006/main" count="29" uniqueCount="29">
  <si>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</si>
  <si>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</si>
  <si>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</si>
  <si>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</si>
  <si>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</si>
  <si>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</si>
  <si>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</si>
  <si>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</si>
  <si>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</si>
  <si>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</si>
  <si>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</si>
  <si>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</si>
  <si>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</si>
  <si>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</si>
  <si>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</si>
  <si>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</si>
  <si>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</si>
  <si>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</si>
  <si>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</si>
  <si>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</si>
  <si>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</si>
  <si>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상장주식수</t>
  </si>
  <si>
    <t>4Q_income</t>
  </si>
  <si>
    <t>목표가</t>
  </si>
  <si>
    <t>2025.3Q</t>
    <phoneticPr fontId="18" type="noConversion"/>
  </si>
  <si>
    <t>2025.4Q</t>
    <phoneticPr fontId="18" type="noConversion"/>
  </si>
  <si>
    <t>2026.1Q</t>
    <phoneticPr fontId="18" type="noConversion"/>
  </si>
  <si>
    <t>2025.2Q</t>
    <phoneticPr fontId="18" type="noConversion"/>
  </si>
  <si>
    <t>2026.2Q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</si>
</sst>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  <xf numFmtId="3" fontId="0" fillId="33" borderId="10" xfId="0" applyNumberFormat="1" applyFill="1" applyBorder="1">
      <alignment vertical="center"/>
    </xf>
    <xf numFmtId="41" fontId="0" fillId="33" borderId="10" xfId="42" applyFont="1" applyFill="1" applyBorder="1">
      <alignment vertical="center"/>
    </xf>
    <xf numFmtId="41" fontId="14" fillId="34" borderId="10" xfId="42" applyFont="1" applyFill="1" applyBorder="1">
      <alignment vertical="center"/>
    </xf>
    <xf numFmtId="41" fontId="19" fillId="33" borderId="10" xfId="42" applyFont="1" applyFill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58E8-FF85-482C-BAF4-EC0D5C6A9C6E}">
  <dimension ref="A1:F25"/>
  <sheetViews>
    <sheetView tabSelected="1" workbookViewId="0">
      <selection activeCell="M17" sqref="M17"/>
    </sheetView>
  </sheetViews>
  <sheetFormatPr defaultRowHeight="16.899999999999999"/>
  <cols>
    <col min="2" max="2" width="11.3125" bestFit="1" customWidth="1"/>
    <col min="3" max="4" width="10" bestFit="1" customWidth="1"/>
    <col min="5" max="5" width="9.0625" bestFit="1" customWidth="1"/>
    <col min="6" max="6" width="11.1875" customWidth="1"/>
  </cols>
  <sheetData>
    <row r="1" spans="1:6">
      <c r="A1" s="1" t="s">
        <v>0</v>
      </c>
      <c r="B1" s="1" t="s">
        <v>21</v>
      </c>
      <c r="C1" s="1" t="s">
        <v>1</v>
      </c>
      <c r="D1" s="1" t="s">
        <v>2</v>
      </c>
      <c r="E1" s="1" t="s">
        <v>22</v>
      </c>
      <c r="F1" s="1" t="s">
        <v>23</v>
      </c>
    </row>
    <row r="2" spans="1:6">
      <c r="A2" s="2" t="s">
        <v>28</v>
      </c>
      <c r="B2" s="3">
        <v>16440000</v>
      </c>
      <c r="C2" s="5">
        <v>360</v>
      </c>
      <c r="D2" s="5">
        <v>302</v>
      </c>
      <c r="E2" s="4">
        <f>(C2*2+C3*2)</f>
        <v>2234</v>
      </c>
      <c r="F2" s="4">
        <f>E2*100000000/B2*6</f>
        <v>81532.846715328458</v>
      </c>
    </row>
    <row r="3" spans="1:6">
      <c r="A3" s="2" t="s">
        <v>26</v>
      </c>
      <c r="B3" s="3">
        <v>16440001</v>
      </c>
      <c r="C3" s="5">
        <v>757</v>
      </c>
      <c r="D3" s="5">
        <v>611</v>
      </c>
      <c r="E3" s="4">
        <f>(C2*2+C3*2)</f>
        <v>2234</v>
      </c>
      <c r="F3" s="4">
        <f t="shared" ref="F3:F25" si="0">E3*100000000/B3*6</f>
        <v>81532.841755909874</v>
      </c>
    </row>
    <row r="4" spans="1:6">
      <c r="A4" s="2" t="s">
        <v>25</v>
      </c>
      <c r="B4" s="3">
        <v>16440002</v>
      </c>
      <c r="C4" s="5">
        <v>212</v>
      </c>
      <c r="D4" s="5">
        <v>297</v>
      </c>
      <c r="E4" s="4">
        <f>(C3*2+C4+C2)</f>
        <v>2086</v>
      </c>
      <c r="F4" s="4">
        <f t="shared" si="0"/>
        <v>76131.37759958909</v>
      </c>
    </row>
    <row r="5" spans="1:6">
      <c r="A5" s="2" t="s">
        <v>24</v>
      </c>
      <c r="B5" s="3">
        <v>16440003</v>
      </c>
      <c r="C5" s="6">
        <v>360</v>
      </c>
      <c r="D5" s="6">
        <v>302</v>
      </c>
      <c r="E5" s="6">
        <f>(C3+C4+C5*2)</f>
        <v>1689</v>
      </c>
      <c r="F5" s="6">
        <f t="shared" si="0"/>
        <v>61642.324517823989</v>
      </c>
    </row>
    <row r="6" spans="1:6">
      <c r="A6" s="2" t="s">
        <v>27</v>
      </c>
      <c r="B6" s="3">
        <v>16440004</v>
      </c>
      <c r="C6" s="6">
        <v>757</v>
      </c>
      <c r="D6" s="6">
        <v>611</v>
      </c>
      <c r="E6" s="6">
        <f t="shared" ref="E6:E25" si="1">(C4+C5+C6*2)</f>
        <v>2086</v>
      </c>
      <c r="F6" s="6">
        <f t="shared" si="0"/>
        <v>76131.368337866588</v>
      </c>
    </row>
    <row r="7" spans="1:6">
      <c r="A7" s="2" t="s">
        <v>3</v>
      </c>
      <c r="B7" s="3">
        <v>16440005</v>
      </c>
      <c r="C7" s="6">
        <v>212</v>
      </c>
      <c r="D7" s="6">
        <v>297</v>
      </c>
      <c r="E7" s="6">
        <f t="shared" si="1"/>
        <v>1541</v>
      </c>
      <c r="F7" s="6">
        <f t="shared" si="0"/>
        <v>56240.858807524695</v>
      </c>
    </row>
    <row r="8" spans="1:6">
      <c r="A8" s="2" t="s">
        <v>4</v>
      </c>
      <c r="B8" s="3">
        <v>16440006</v>
      </c>
      <c r="C8" s="6">
        <v>178</v>
      </c>
      <c r="D8" s="6">
        <v>99</v>
      </c>
      <c r="E8" s="6">
        <f t="shared" si="1"/>
        <v>1325</v>
      </c>
      <c r="F8" s="6">
        <f t="shared" si="0"/>
        <v>48357.646584800517</v>
      </c>
    </row>
    <row r="9" spans="1:6">
      <c r="A9" s="2" t="s">
        <v>5</v>
      </c>
      <c r="B9" s="3">
        <v>16440007</v>
      </c>
      <c r="C9" s="6">
        <v>373</v>
      </c>
      <c r="D9" s="6">
        <v>301</v>
      </c>
      <c r="E9" s="6">
        <f t="shared" si="1"/>
        <v>1136</v>
      </c>
      <c r="F9" s="6">
        <f t="shared" si="0"/>
        <v>41459.836361383546</v>
      </c>
    </row>
    <row r="10" spans="1:6">
      <c r="A10" s="2" t="s">
        <v>6</v>
      </c>
      <c r="B10" s="3">
        <v>16440008</v>
      </c>
      <c r="C10" s="6">
        <v>598</v>
      </c>
      <c r="D10" s="6">
        <v>426</v>
      </c>
      <c r="E10" s="6">
        <f t="shared" si="1"/>
        <v>1747</v>
      </c>
      <c r="F10" s="6">
        <f t="shared" si="0"/>
        <v>63759.093061268592</v>
      </c>
    </row>
    <row r="11" spans="1:6">
      <c r="A11" s="2" t="s">
        <v>7</v>
      </c>
      <c r="B11" s="3">
        <v>16440009</v>
      </c>
      <c r="C11" s="6">
        <v>436</v>
      </c>
      <c r="D11" s="6">
        <v>442</v>
      </c>
      <c r="E11" s="6">
        <f t="shared" si="1"/>
        <v>1843</v>
      </c>
      <c r="F11" s="6">
        <f t="shared" si="0"/>
        <v>67262.736899961543</v>
      </c>
    </row>
    <row r="12" spans="1:6">
      <c r="A12" s="2" t="s">
        <v>8</v>
      </c>
      <c r="B12" s="3">
        <v>16440010</v>
      </c>
      <c r="C12" s="6">
        <v>350</v>
      </c>
      <c r="D12" s="6">
        <v>273</v>
      </c>
      <c r="E12" s="6">
        <f t="shared" si="1"/>
        <v>1734</v>
      </c>
      <c r="F12" s="6">
        <f t="shared" si="0"/>
        <v>63284.63303854438</v>
      </c>
    </row>
    <row r="13" spans="1:6">
      <c r="A13" s="2" t="s">
        <v>9</v>
      </c>
      <c r="B13" s="3">
        <v>16440011</v>
      </c>
      <c r="C13" s="6">
        <v>358</v>
      </c>
      <c r="D13" s="6">
        <v>327</v>
      </c>
      <c r="E13" s="6">
        <f t="shared" si="1"/>
        <v>1502</v>
      </c>
      <c r="F13" s="6">
        <f t="shared" si="0"/>
        <v>54817.4815698116</v>
      </c>
    </row>
    <row r="14" spans="1:6">
      <c r="A14" s="2" t="s">
        <v>10</v>
      </c>
      <c r="B14" s="3">
        <v>16440012</v>
      </c>
      <c r="C14" s="6">
        <v>560</v>
      </c>
      <c r="D14" s="6">
        <v>451</v>
      </c>
      <c r="E14" s="6">
        <f t="shared" si="1"/>
        <v>1828</v>
      </c>
      <c r="F14" s="6">
        <f t="shared" si="0"/>
        <v>66715.279769868779</v>
      </c>
    </row>
    <row r="15" spans="1:6">
      <c r="A15" s="2" t="s">
        <v>11</v>
      </c>
      <c r="B15" s="3">
        <v>16440013</v>
      </c>
      <c r="C15" s="6">
        <v>817</v>
      </c>
      <c r="D15" s="6">
        <v>725</v>
      </c>
      <c r="E15" s="6">
        <f t="shared" si="1"/>
        <v>2552</v>
      </c>
      <c r="F15" s="6">
        <f t="shared" si="0"/>
        <v>93138.612481632474</v>
      </c>
    </row>
    <row r="16" spans="1:6">
      <c r="A16" s="2" t="s">
        <v>12</v>
      </c>
      <c r="B16" s="3">
        <v>16440014</v>
      </c>
      <c r="C16" s="6">
        <v>315</v>
      </c>
      <c r="D16" s="6">
        <v>235</v>
      </c>
      <c r="E16" s="6">
        <f t="shared" si="1"/>
        <v>2007</v>
      </c>
      <c r="F16" s="6">
        <f t="shared" si="0"/>
        <v>73248.112805743353</v>
      </c>
    </row>
    <row r="17" spans="1:6">
      <c r="A17" s="2" t="s">
        <v>13</v>
      </c>
      <c r="B17" s="3">
        <v>16440015</v>
      </c>
      <c r="C17" s="6">
        <v>244</v>
      </c>
      <c r="D17" s="6">
        <v>341</v>
      </c>
      <c r="E17" s="6">
        <f t="shared" si="1"/>
        <v>1620</v>
      </c>
      <c r="F17" s="6">
        <f t="shared" si="0"/>
        <v>59124.033645954703</v>
      </c>
    </row>
    <row r="18" spans="1:6">
      <c r="A18" s="2" t="s">
        <v>14</v>
      </c>
      <c r="B18" s="3">
        <v>16440016</v>
      </c>
      <c r="C18" s="6">
        <v>-220</v>
      </c>
      <c r="D18" s="6">
        <v>-257</v>
      </c>
      <c r="E18" s="6">
        <f t="shared" si="1"/>
        <v>119</v>
      </c>
      <c r="F18" s="6">
        <f t="shared" si="0"/>
        <v>4343.061466606845</v>
      </c>
    </row>
    <row r="19" spans="1:6">
      <c r="A19" s="2" t="s">
        <v>15</v>
      </c>
      <c r="B19" s="3">
        <v>16440017</v>
      </c>
      <c r="C19" s="6">
        <v>412</v>
      </c>
      <c r="D19" s="6">
        <v>342</v>
      </c>
      <c r="E19" s="6">
        <f t="shared" si="1"/>
        <v>848</v>
      </c>
      <c r="F19" s="6">
        <f t="shared" si="0"/>
        <v>30948.873106396422</v>
      </c>
    </row>
    <row r="20" spans="1:6">
      <c r="A20" s="2" t="s">
        <v>16</v>
      </c>
      <c r="B20" s="3">
        <v>16440018</v>
      </c>
      <c r="C20" s="6">
        <v>85</v>
      </c>
      <c r="D20" s="6">
        <v>62</v>
      </c>
      <c r="E20" s="6">
        <f t="shared" si="1"/>
        <v>362</v>
      </c>
      <c r="F20" s="6">
        <f t="shared" si="0"/>
        <v>13211.664366790839</v>
      </c>
    </row>
    <row r="21" spans="1:6">
      <c r="A21" s="2" t="s">
        <v>17</v>
      </c>
      <c r="B21" s="3">
        <v>16440019</v>
      </c>
      <c r="C21" s="6">
        <v>194</v>
      </c>
      <c r="D21" s="6">
        <v>173</v>
      </c>
      <c r="E21" s="6">
        <f t="shared" si="1"/>
        <v>885</v>
      </c>
      <c r="F21" s="6">
        <f t="shared" si="0"/>
        <v>32299.232744195731</v>
      </c>
    </row>
    <row r="22" spans="1:6">
      <c r="A22" s="2" t="s">
        <v>18</v>
      </c>
      <c r="B22" s="3">
        <v>16440020</v>
      </c>
      <c r="C22" s="6">
        <v>522</v>
      </c>
      <c r="D22" s="6">
        <v>379</v>
      </c>
      <c r="E22" s="6">
        <f t="shared" si="1"/>
        <v>1323</v>
      </c>
      <c r="F22" s="6">
        <f t="shared" si="0"/>
        <v>48284.612792441862</v>
      </c>
    </row>
    <row r="23" spans="1:6">
      <c r="A23" s="2" t="s">
        <v>19</v>
      </c>
      <c r="B23" s="3">
        <v>16440021</v>
      </c>
      <c r="C23" s="6">
        <v>389</v>
      </c>
      <c r="D23" s="6">
        <v>364</v>
      </c>
      <c r="E23" s="6">
        <f t="shared" si="1"/>
        <v>1494</v>
      </c>
      <c r="F23" s="6">
        <f t="shared" si="0"/>
        <v>54525.477795922532</v>
      </c>
    </row>
    <row r="24" spans="1:6">
      <c r="A24" s="2" t="s">
        <v>20</v>
      </c>
      <c r="B24" s="3">
        <v>16440022</v>
      </c>
      <c r="C24" s="6">
        <v>931</v>
      </c>
      <c r="D24" s="6">
        <v>676</v>
      </c>
      <c r="E24" s="6">
        <f t="shared" si="1"/>
        <v>2773</v>
      </c>
      <c r="F24" s="6">
        <f t="shared" si="0"/>
        <v>101204.24413057356</v>
      </c>
    </row>
    <row r="25" spans="1:6">
      <c r="A25" s="2"/>
      <c r="B25" s="3"/>
      <c r="C25" s="6"/>
      <c r="D25" s="6"/>
      <c r="E25" s="6"/>
      <c r="F25" s="6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신영증권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2025-01-31T15:24:20Z</dcterms:created>
  <dcterms:modified xsi:type="dcterms:W3CDTF">2026-04-02T01:22:58Z</dcterms:modified>
</cp:coreProperties>
</file>