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333E81E-EA8B-4F45-88AB-526440B38827}" xr6:coauthVersionLast="47" xr6:coauthVersionMax="47" xr10:uidLastSave="{00000000-0000-0000-0000-000000000000}"/>
  <bookViews>
    <workbookView xWindow="29655" yWindow="1463" windowWidth="14445" windowHeight="10410" xr2:uid="{D3AF1327-C308-42CF-AFA5-FE59593F7F78}"/>
  </bookViews>
  <sheets>
    <sheet name="한미반도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3" i="1"/>
  <c r="E2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<sst xmlns="http://schemas.openxmlformats.org/spreadsheetml/2006/main" count="33" uniqueCount="33">
  <si>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</si>
  <si>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</si>
  <si>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</si>
  <si>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</si>
  <si>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</si>
  <si>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</si>
  <si>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</si>
  <si>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</si>
  <si>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</si>
  <si>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</si>
  <si>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</si>
  <si>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</si>
  <si>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</si>
  <si>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</si>
  <si>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</si>
  <si>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</si>
  <si>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</si>
  <si>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</si>
  <si>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</si>
  <si>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</si>
  <si>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</si>
  <si>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</si>
  <si>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</si>
  <si>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</si>
  <si>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</si>
  <si>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</si>
  <si>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</si>
  <si>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</si>
  <si>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2025.4Q</t>
  </si>
  <si>
    <t>2025.3Q</t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</si>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</sst>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3" fontId="0" fillId="0" borderId="0" xfId="42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8"/>
  <sheetViews>
    <sheetView tabSelected="1" workbookViewId="0">
      <selection activeCell="F2" sqref="F2:F26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32</v>
      </c>
      <c r="B2" s="1">
        <v>95312200</v>
      </c>
      <c r="C2" s="1">
        <v>1902</v>
      </c>
      <c r="D2" s="1"/>
      <c r="E2" s="4">
        <f>(C2*2+C3*2)</f>
        <v>7608</v>
      </c>
      <c r="F2" s="3">
        <f>E2*100000000/B2*30</f>
        <v>239465.67176080291</v>
      </c>
    </row>
    <row r="3" spans="1:6" x14ac:dyDescent="0.6">
      <c r="A3" t="s">
        <v>31</v>
      </c>
      <c r="B3" s="1">
        <v>95312200</v>
      </c>
      <c r="C3" s="1">
        <v>1902</v>
      </c>
      <c r="D3" s="1"/>
      <c r="E3" s="4">
        <f>(C2*2+C3*2)</f>
        <v>7608</v>
      </c>
      <c r="F3" s="3">
        <f t="shared" ref="F3:F26" si="0">E3*100000000/B3*30</f>
        <v>239465.67176080291</v>
      </c>
    </row>
    <row r="4" spans="1:6" x14ac:dyDescent="0.6">
      <c r="A4" t="s">
        <v>30</v>
      </c>
      <c r="B4" s="1">
        <v>95312200</v>
      </c>
      <c r="C4" s="1">
        <v>886</v>
      </c>
      <c r="D4" s="1"/>
      <c r="E4" s="4">
        <f>(C3*2+C4*2)</f>
        <v>5576</v>
      </c>
      <c r="F4" s="3">
        <f t="shared" si="0"/>
        <v>175507.43766275462</v>
      </c>
    </row>
    <row r="5" spans="1:6" x14ac:dyDescent="0.6">
      <c r="A5" t="s">
        <v>28</v>
      </c>
      <c r="B5" s="1">
        <v>95312200</v>
      </c>
      <c r="C5" s="1">
        <v>694</v>
      </c>
      <c r="D5" s="1">
        <v>542</v>
      </c>
      <c r="E5" s="4">
        <f>(C4*2+C5+C3)</f>
        <v>4368</v>
      </c>
      <c r="F5" s="3">
        <f t="shared" si="0"/>
        <v>137485.02290367865</v>
      </c>
    </row>
    <row r="6" spans="1:6" x14ac:dyDescent="0.6">
      <c r="A6" t="s">
        <v>29</v>
      </c>
      <c r="B6" s="1">
        <v>95312200</v>
      </c>
      <c r="C6" s="1">
        <v>678.2</v>
      </c>
      <c r="D6" s="1">
        <v>657.1</v>
      </c>
      <c r="E6" s="4">
        <f>(C4+C5+C6*2)</f>
        <v>2936.4</v>
      </c>
      <c r="F6" s="3">
        <f t="shared" si="0"/>
        <v>92424.684353104851</v>
      </c>
    </row>
    <row r="7" spans="1:6" x14ac:dyDescent="0.6">
      <c r="A7" t="s">
        <v>6</v>
      </c>
      <c r="B7" s="1">
        <v>95312200</v>
      </c>
      <c r="C7" s="1">
        <v>863.1</v>
      </c>
      <c r="D7" s="1">
        <v>646.9</v>
      </c>
      <c r="E7" s="4">
        <f t="shared" ref="E7:E26" si="1">(C5+C6+C7*2)</f>
        <v>3098.4</v>
      </c>
      <c r="F7" s="3">
        <f t="shared" si="0"/>
        <v>97523.716795961067</v>
      </c>
    </row>
    <row r="8" spans="1:6" x14ac:dyDescent="0.6">
      <c r="A8" t="s">
        <v>7</v>
      </c>
      <c r="B8" s="1">
        <v>95312200</v>
      </c>
      <c r="C8" s="1">
        <v>696.3</v>
      </c>
      <c r="D8" s="1">
        <v>547.5</v>
      </c>
      <c r="E8" s="4">
        <f t="shared" si="1"/>
        <v>2933.9</v>
      </c>
      <c r="F8" s="3">
        <f t="shared" si="0"/>
        <v>92345.995580838542</v>
      </c>
    </row>
    <row r="9" spans="1:6" x14ac:dyDescent="0.6">
      <c r="A9" t="s">
        <v>8</v>
      </c>
      <c r="B9" s="1">
        <v>95312200</v>
      </c>
      <c r="C9" s="1">
        <v>719.4</v>
      </c>
      <c r="D9" s="1">
        <v>564.29999999999995</v>
      </c>
      <c r="E9" s="4">
        <f t="shared" si="1"/>
        <v>2998.2</v>
      </c>
      <c r="F9" s="3">
        <f t="shared" si="0"/>
        <v>94369.870803527767</v>
      </c>
    </row>
    <row r="10" spans="1:6" x14ac:dyDescent="0.6">
      <c r="A10" t="s">
        <v>9</v>
      </c>
      <c r="B10" s="1">
        <v>95312200</v>
      </c>
      <c r="C10" s="1">
        <v>993</v>
      </c>
      <c r="D10" s="1">
        <v>384</v>
      </c>
      <c r="E10" s="4">
        <f t="shared" si="1"/>
        <v>3401.7</v>
      </c>
      <c r="F10" s="3">
        <f t="shared" si="0"/>
        <v>107070.23864730854</v>
      </c>
    </row>
    <row r="11" spans="1:6" x14ac:dyDescent="0.6">
      <c r="A11" t="s">
        <v>10</v>
      </c>
      <c r="B11" s="1">
        <v>95312200</v>
      </c>
      <c r="C11" s="1">
        <v>554</v>
      </c>
      <c r="D11" s="1">
        <v>-118</v>
      </c>
      <c r="E11" s="4">
        <f t="shared" si="1"/>
        <v>2820.4</v>
      </c>
      <c r="F11" s="3">
        <f t="shared" si="0"/>
        <v>88773.525319948545</v>
      </c>
    </row>
    <row r="12" spans="1:6" x14ac:dyDescent="0.6">
      <c r="A12" t="s">
        <v>11</v>
      </c>
      <c r="B12" s="1">
        <v>95312200</v>
      </c>
      <c r="C12" s="1">
        <v>287</v>
      </c>
      <c r="D12" s="1">
        <v>696</v>
      </c>
      <c r="E12" s="4">
        <f t="shared" si="1"/>
        <v>2121</v>
      </c>
      <c r="F12" s="3">
        <f t="shared" si="0"/>
        <v>66759.554390728561</v>
      </c>
    </row>
    <row r="13" spans="1:6" x14ac:dyDescent="0.6">
      <c r="A13" t="s">
        <v>12</v>
      </c>
      <c r="B13" s="1">
        <v>95312200</v>
      </c>
      <c r="C13" s="1">
        <v>184</v>
      </c>
      <c r="D13" s="1">
        <v>854</v>
      </c>
      <c r="E13" s="4">
        <f t="shared" si="1"/>
        <v>1209</v>
      </c>
      <c r="F13" s="3">
        <f t="shared" si="0"/>
        <v>38053.890267982482</v>
      </c>
    </row>
    <row r="14" spans="1:6" x14ac:dyDescent="0.6">
      <c r="A14" t="s">
        <v>13</v>
      </c>
      <c r="B14" s="1">
        <v>95312200</v>
      </c>
      <c r="C14" s="1">
        <v>29</v>
      </c>
      <c r="D14" s="1">
        <v>147</v>
      </c>
      <c r="E14" s="4">
        <f t="shared" si="1"/>
        <v>529</v>
      </c>
      <c r="F14" s="3">
        <f t="shared" si="0"/>
        <v>16650.544211548993</v>
      </c>
    </row>
    <row r="15" spans="1:6" x14ac:dyDescent="0.6">
      <c r="A15" t="s">
        <v>14</v>
      </c>
      <c r="B15" s="1">
        <v>95312200</v>
      </c>
      <c r="C15" s="1">
        <v>112</v>
      </c>
      <c r="D15" s="1">
        <v>340</v>
      </c>
      <c r="E15" s="4">
        <f t="shared" si="1"/>
        <v>437</v>
      </c>
      <c r="F15" s="3">
        <f t="shared" si="0"/>
        <v>13754.797392149168</v>
      </c>
    </row>
    <row r="16" spans="1:6" x14ac:dyDescent="0.6">
      <c r="A16" t="s">
        <v>15</v>
      </c>
      <c r="B16" s="1">
        <v>95312200</v>
      </c>
      <c r="C16" s="1">
        <v>21</v>
      </c>
      <c r="D16" s="1">
        <v>1332</v>
      </c>
      <c r="E16" s="4">
        <f t="shared" si="1"/>
        <v>183</v>
      </c>
      <c r="F16" s="3">
        <f t="shared" si="0"/>
        <v>5760.0181298931302</v>
      </c>
    </row>
    <row r="17" spans="1:6" x14ac:dyDescent="0.6">
      <c r="A17" t="s">
        <v>16</v>
      </c>
      <c r="B17" s="1">
        <v>95312200</v>
      </c>
      <c r="C17" s="1">
        <v>145</v>
      </c>
      <c r="D17" s="1">
        <v>-29</v>
      </c>
      <c r="E17" s="4">
        <f t="shared" si="1"/>
        <v>423</v>
      </c>
      <c r="F17" s="3">
        <f t="shared" si="0"/>
        <v>13314.140267457891</v>
      </c>
    </row>
    <row r="18" spans="1:6" x14ac:dyDescent="0.6">
      <c r="A18" t="s">
        <v>17</v>
      </c>
      <c r="B18" s="1">
        <v>95312200</v>
      </c>
      <c r="C18" s="1">
        <v>322</v>
      </c>
      <c r="D18" s="1">
        <v>387</v>
      </c>
      <c r="E18" s="4">
        <f t="shared" si="1"/>
        <v>810</v>
      </c>
      <c r="F18" s="3">
        <f t="shared" si="0"/>
        <v>25495.162214281067</v>
      </c>
    </row>
    <row r="19" spans="1:6" x14ac:dyDescent="0.6">
      <c r="A19" t="s">
        <v>18</v>
      </c>
      <c r="B19" s="1">
        <v>95312200</v>
      </c>
      <c r="C19" s="1">
        <v>439</v>
      </c>
      <c r="D19" s="1">
        <v>368</v>
      </c>
      <c r="E19" s="4">
        <f t="shared" si="1"/>
        <v>1345</v>
      </c>
      <c r="F19" s="3">
        <f t="shared" si="0"/>
        <v>42334.559479269177</v>
      </c>
    </row>
    <row r="20" spans="1:6" x14ac:dyDescent="0.6">
      <c r="A20" t="s">
        <v>19</v>
      </c>
      <c r="B20" s="1">
        <v>95312200</v>
      </c>
      <c r="C20" s="1">
        <v>213</v>
      </c>
      <c r="D20" s="1">
        <v>196</v>
      </c>
      <c r="E20" s="4">
        <f t="shared" si="1"/>
        <v>1187</v>
      </c>
      <c r="F20" s="3">
        <f t="shared" si="0"/>
        <v>37361.429072039042</v>
      </c>
    </row>
    <row r="21" spans="1:6" x14ac:dyDescent="0.6">
      <c r="A21" t="s">
        <v>20</v>
      </c>
      <c r="B21" s="1">
        <v>95312200</v>
      </c>
      <c r="C21" s="1">
        <v>357</v>
      </c>
      <c r="D21" s="1">
        <v>297</v>
      </c>
      <c r="E21" s="4">
        <f t="shared" si="1"/>
        <v>1366</v>
      </c>
      <c r="F21" s="3">
        <f t="shared" si="0"/>
        <v>42995.545166306096</v>
      </c>
    </row>
    <row r="22" spans="1:6" x14ac:dyDescent="0.6">
      <c r="A22" t="s">
        <v>21</v>
      </c>
      <c r="B22" s="1">
        <v>95312200</v>
      </c>
      <c r="C22" s="1">
        <v>309</v>
      </c>
      <c r="D22" s="1">
        <v>267</v>
      </c>
      <c r="E22" s="4">
        <f t="shared" si="1"/>
        <v>1188</v>
      </c>
      <c r="F22" s="3">
        <f t="shared" si="0"/>
        <v>37392.904580945564</v>
      </c>
    </row>
    <row r="23" spans="1:6" x14ac:dyDescent="0.6">
      <c r="A23" t="s">
        <v>22</v>
      </c>
      <c r="B23" s="1">
        <v>95312200</v>
      </c>
      <c r="C23" s="1">
        <v>364</v>
      </c>
      <c r="D23" s="1">
        <v>277</v>
      </c>
      <c r="E23" s="4">
        <f t="shared" si="1"/>
        <v>1394</v>
      </c>
      <c r="F23" s="3">
        <f t="shared" si="0"/>
        <v>43876.859415688654</v>
      </c>
    </row>
    <row r="24" spans="1:6" x14ac:dyDescent="0.6">
      <c r="A24" t="s">
        <v>23</v>
      </c>
      <c r="B24" s="1">
        <v>95312200</v>
      </c>
      <c r="C24" s="1">
        <v>193</v>
      </c>
      <c r="D24" s="1">
        <v>204</v>
      </c>
      <c r="E24" s="4">
        <f t="shared" si="1"/>
        <v>1059</v>
      </c>
      <c r="F24" s="3">
        <f t="shared" si="0"/>
        <v>33332.563932004501</v>
      </c>
    </row>
    <row r="25" spans="1:6" x14ac:dyDescent="0.6">
      <c r="A25" t="s">
        <v>24</v>
      </c>
      <c r="B25" s="1">
        <v>95312200</v>
      </c>
      <c r="C25" s="1">
        <v>143</v>
      </c>
      <c r="D25" s="1">
        <v>100</v>
      </c>
      <c r="E25" s="4">
        <f t="shared" si="1"/>
        <v>843</v>
      </c>
      <c r="F25" s="3">
        <f t="shared" si="0"/>
        <v>26533.854008196224</v>
      </c>
    </row>
    <row r="26" spans="1:6" x14ac:dyDescent="0.6">
      <c r="A26" t="s">
        <v>25</v>
      </c>
      <c r="B26" s="1">
        <v>95312200</v>
      </c>
      <c r="C26" s="1">
        <v>249</v>
      </c>
      <c r="D26" s="1">
        <v>183</v>
      </c>
      <c r="E26" s="4">
        <f t="shared" si="1"/>
        <v>834</v>
      </c>
      <c r="F26" s="3">
        <f t="shared" si="0"/>
        <v>26250.574428037544</v>
      </c>
    </row>
    <row r="27" spans="1:6" x14ac:dyDescent="0.6">
      <c r="A27" t="s">
        <v>26</v>
      </c>
      <c r="B27" s="1">
        <v>95312200</v>
      </c>
      <c r="C27" s="1">
        <v>201</v>
      </c>
      <c r="D27" s="1">
        <v>143</v>
      </c>
      <c r="E27" s="1"/>
      <c r="F27" s="2"/>
    </row>
    <row r="28" spans="1:6" x14ac:dyDescent="0.6">
      <c r="A28" t="s">
        <v>27</v>
      </c>
      <c r="B28" s="1">
        <v>95312200</v>
      </c>
      <c r="C28" s="1">
        <v>74</v>
      </c>
      <c r="D28" s="1">
        <v>76</v>
      </c>
      <c r="E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한미반도체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2026-05-14T15:04:48Z</dcterms:modified>
</cp:coreProperties>
</file>