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ogleDriver\내 드라이브\Colab Notebooks\FIN\"/>
    </mc:Choice>
  </mc:AlternateContent>
  <xr:revisionPtr revIDLastSave="0" documentId="13_ncr:1_{B9B5897C-37AF-48D2-A82A-14F95495455E}" xr6:coauthVersionLast="47" xr6:coauthVersionMax="47" xr10:uidLastSave="{00000000-0000-0000-0000-000000000000}"/>
  <bookViews>
    <workbookView xWindow="-120" yWindow="-120" windowWidth="29040" windowHeight="15720" xr2:uid="{770B8EFA-AF4E-461C-B2AA-8FE4B0BDF87F}"/>
  </bookViews>
  <sheets>
    <sheet name="덴티움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<sst xmlns="http://schemas.openxmlformats.org/spreadsheetml/2006/main" count="28" uniqueCount="28">
  <si>
    <t>분기</t>
  </si>
  <si>
    <t>영업이익</t>
  </si>
  <si>
    <t>순이익</t>
  </si>
  <si>
    <t>4Q_income</t>
  </si>
  <si>
    <t>목표가</t>
  </si>
  <si>
    <t>2025.2Q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</si>
  <si>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</si>
  <si>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</si>
  <si>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</si>
  <si>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</si>
  <si>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</si>
  <si>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</si>
  <si>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</si>
  <si>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</si>
  <si>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</si>
  <si>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</si>
  <si>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</si>
  <si>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</si>
  <si>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</si>
  <si>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</si>
  <si>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</si>
  <si>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</si>
  <si>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</si>
  <si>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</si>
  <si>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</si>
  <si>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</si>
  <si>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2020.1Q</t>
  </si>
  <si>
    <t>상장주식수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</si>
</sst>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4B864-38F1-4F36-9148-43CDBC44FB21}">
  <dimension ref="A1:F23"/>
  <sheetViews>
    <sheetView tabSelected="1" workbookViewId="0">
      <selection activeCell="B1" sqref="B1"/>
    </sheetView>
  </sheetViews>
  <sheetFormatPr defaultRowHeight="16.5" x14ac:dyDescent="0.3"/>
  <cols>
    <col min="2" max="2" width="10.25" bestFit="1" customWidth="1"/>
    <col min="5" max="5" width="13.625" customWidth="1"/>
  </cols>
  <sheetData>
    <row r="1" spans="1:6" x14ac:dyDescent="0.3">
      <c r="A1" t="s">
        <v>0</v>
      </c>
      <c r="B1" t="s">
        <v>27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5</v>
      </c>
      <c r="B2" s="1">
        <v>11068830</v>
      </c>
      <c r="C2">
        <v>282</v>
      </c>
      <c r="D2">
        <v>200</v>
      </c>
      <c r="E2">
        <f>SUM(C2:C5)</f>
        <v>1126</v>
      </c>
      <c r="F2" s="2">
        <f>E2*100000000/B2*9</f>
        <v>91554.391927602119</v>
      </c>
    </row>
    <row r="3" spans="1:6" x14ac:dyDescent="0.3">
      <c r="A3" t="s">
        <v>6</v>
      </c>
      <c r="B3" s="1">
        <v>11068830</v>
      </c>
      <c r="C3">
        <v>219</v>
      </c>
      <c r="D3">
        <v>156</v>
      </c>
      <c r="E3">
        <f>SUM(C2:C5)</f>
        <v>1126</v>
      </c>
      <c r="F3" s="2">
        <f t="shared" ref="F3:F22" si="0">E3*100000000/B3*9</f>
        <v>91554.391927602119</v>
      </c>
    </row>
    <row r="4" spans="1:6" x14ac:dyDescent="0.3">
      <c r="A4" t="s">
        <v>7</v>
      </c>
      <c r="B4" s="1">
        <v>11068830</v>
      </c>
      <c r="C4">
        <v>381</v>
      </c>
      <c r="D4">
        <v>323</v>
      </c>
      <c r="E4">
        <f t="shared" ref="E4:E22" si="1">SUM(C3:C6)</f>
        <v>1121</v>
      </c>
      <c r="F4" s="2">
        <f t="shared" si="0"/>
        <v>91147.844894175811</v>
      </c>
    </row>
    <row r="5" spans="1:6" x14ac:dyDescent="0.3">
      <c r="A5" t="s">
        <v>8</v>
      </c>
      <c r="B5" s="1">
        <v>11068830</v>
      </c>
      <c r="C5">
        <v>244</v>
      </c>
      <c r="D5">
        <v>148</v>
      </c>
      <c r="E5">
        <f t="shared" si="1"/>
        <v>1094</v>
      </c>
      <c r="F5" s="2">
        <f t="shared" si="0"/>
        <v>88952.490913673799</v>
      </c>
    </row>
    <row r="6" spans="1:6" x14ac:dyDescent="0.3">
      <c r="A6" t="s">
        <v>9</v>
      </c>
      <c r="B6" s="1">
        <v>11068830</v>
      </c>
      <c r="C6">
        <v>277</v>
      </c>
      <c r="D6">
        <v>205</v>
      </c>
      <c r="E6">
        <f t="shared" si="1"/>
        <v>1256</v>
      </c>
      <c r="F6" s="2">
        <f t="shared" si="0"/>
        <v>102124.61479668584</v>
      </c>
    </row>
    <row r="7" spans="1:6" x14ac:dyDescent="0.3">
      <c r="A7" t="s">
        <v>10</v>
      </c>
      <c r="B7" s="1">
        <v>11068830</v>
      </c>
      <c r="C7">
        <v>192</v>
      </c>
      <c r="D7">
        <v>165</v>
      </c>
      <c r="E7">
        <f t="shared" si="1"/>
        <v>1313</v>
      </c>
      <c r="F7" s="2">
        <f t="shared" si="0"/>
        <v>106759.25097774561</v>
      </c>
    </row>
    <row r="8" spans="1:6" x14ac:dyDescent="0.3">
      <c r="A8" t="s">
        <v>11</v>
      </c>
      <c r="B8" s="1">
        <v>11068830</v>
      </c>
      <c r="C8">
        <v>543</v>
      </c>
      <c r="D8">
        <v>340</v>
      </c>
      <c r="E8">
        <f t="shared" si="1"/>
        <v>1360</v>
      </c>
      <c r="F8" s="2">
        <f t="shared" si="0"/>
        <v>110580.7930919528</v>
      </c>
    </row>
    <row r="9" spans="1:6" x14ac:dyDescent="0.3">
      <c r="A9" t="s">
        <v>12</v>
      </c>
      <c r="B9" s="1">
        <v>11068830</v>
      </c>
      <c r="C9">
        <v>301</v>
      </c>
      <c r="D9">
        <v>241</v>
      </c>
      <c r="E9">
        <f t="shared" si="1"/>
        <v>1383</v>
      </c>
      <c r="F9" s="2">
        <f t="shared" si="0"/>
        <v>112450.90944571377</v>
      </c>
    </row>
    <row r="10" spans="1:6" x14ac:dyDescent="0.3">
      <c r="A10" t="s">
        <v>13</v>
      </c>
      <c r="B10" s="1">
        <v>11068830</v>
      </c>
      <c r="C10">
        <v>324</v>
      </c>
      <c r="D10">
        <v>202</v>
      </c>
      <c r="E10">
        <f t="shared" si="1"/>
        <v>1204</v>
      </c>
      <c r="F10" s="2">
        <f t="shared" si="0"/>
        <v>97896.525649052346</v>
      </c>
    </row>
    <row r="11" spans="1:6" x14ac:dyDescent="0.3">
      <c r="A11" t="s">
        <v>14</v>
      </c>
      <c r="B11" s="1">
        <v>11068830</v>
      </c>
      <c r="C11">
        <v>215</v>
      </c>
      <c r="D11">
        <v>183</v>
      </c>
      <c r="E11">
        <f t="shared" si="1"/>
        <v>1240</v>
      </c>
      <c r="F11" s="2">
        <f t="shared" si="0"/>
        <v>100823.66428972167</v>
      </c>
    </row>
    <row r="12" spans="1:6" x14ac:dyDescent="0.3">
      <c r="A12" t="s">
        <v>15</v>
      </c>
      <c r="B12" s="1">
        <v>11068830</v>
      </c>
      <c r="C12">
        <v>364</v>
      </c>
      <c r="D12">
        <v>97</v>
      </c>
      <c r="E12">
        <f t="shared" si="1"/>
        <v>1268</v>
      </c>
      <c r="F12" s="2">
        <f t="shared" si="0"/>
        <v>103100.32767690894</v>
      </c>
    </row>
    <row r="13" spans="1:6" x14ac:dyDescent="0.3">
      <c r="A13" t="s">
        <v>16</v>
      </c>
      <c r="B13" s="1">
        <v>11068830</v>
      </c>
      <c r="C13">
        <v>337</v>
      </c>
      <c r="D13">
        <v>246</v>
      </c>
      <c r="E13">
        <f t="shared" si="1"/>
        <v>1257</v>
      </c>
      <c r="F13" s="2">
        <f t="shared" si="0"/>
        <v>102205.92420337109</v>
      </c>
    </row>
    <row r="14" spans="1:6" x14ac:dyDescent="0.3">
      <c r="A14" t="s">
        <v>17</v>
      </c>
      <c r="B14" s="1">
        <v>11068830</v>
      </c>
      <c r="C14">
        <v>352</v>
      </c>
      <c r="D14">
        <v>362</v>
      </c>
      <c r="E14">
        <f t="shared" si="1"/>
        <v>1166</v>
      </c>
      <c r="F14" s="2">
        <f t="shared" si="0"/>
        <v>94806.768195012482</v>
      </c>
    </row>
    <row r="15" spans="1:6" x14ac:dyDescent="0.3">
      <c r="A15" t="s">
        <v>18</v>
      </c>
      <c r="B15" s="1">
        <v>11068830</v>
      </c>
      <c r="C15">
        <v>204</v>
      </c>
      <c r="D15">
        <v>157</v>
      </c>
      <c r="E15">
        <f t="shared" si="1"/>
        <v>980</v>
      </c>
      <c r="F15" s="2">
        <f t="shared" si="0"/>
        <v>79683.218551554222</v>
      </c>
    </row>
    <row r="16" spans="1:6" x14ac:dyDescent="0.3">
      <c r="A16" t="s">
        <v>19</v>
      </c>
      <c r="B16" s="1">
        <v>11068830</v>
      </c>
      <c r="C16">
        <v>273</v>
      </c>
      <c r="D16">
        <v>185</v>
      </c>
      <c r="E16">
        <f t="shared" si="1"/>
        <v>797</v>
      </c>
      <c r="F16" s="2">
        <f t="shared" si="0"/>
        <v>64803.597128151756</v>
      </c>
    </row>
    <row r="17" spans="1:6" x14ac:dyDescent="0.3">
      <c r="A17" t="s">
        <v>20</v>
      </c>
      <c r="B17" s="1">
        <v>11068830</v>
      </c>
      <c r="C17">
        <v>151</v>
      </c>
      <c r="D17">
        <v>141</v>
      </c>
      <c r="E17">
        <f t="shared" si="1"/>
        <v>699</v>
      </c>
      <c r="F17" s="2">
        <f t="shared" si="0"/>
        <v>56835.275272996332</v>
      </c>
    </row>
    <row r="18" spans="1:6" x14ac:dyDescent="0.3">
      <c r="A18" t="s">
        <v>21</v>
      </c>
      <c r="B18" s="1">
        <v>11068830</v>
      </c>
      <c r="C18">
        <v>169</v>
      </c>
      <c r="D18">
        <v>143</v>
      </c>
      <c r="E18">
        <f t="shared" si="1"/>
        <v>599</v>
      </c>
      <c r="F18" s="2">
        <f t="shared" si="0"/>
        <v>48704.334604470394</v>
      </c>
    </row>
    <row r="19" spans="1:6" x14ac:dyDescent="0.3">
      <c r="A19" t="s">
        <v>22</v>
      </c>
      <c r="B19" s="1">
        <v>11068830</v>
      </c>
      <c r="C19">
        <v>106</v>
      </c>
      <c r="D19">
        <v>86</v>
      </c>
      <c r="E19">
        <f t="shared" si="1"/>
        <v>572</v>
      </c>
      <c r="F19" s="2">
        <f t="shared" si="0"/>
        <v>46508.980623968389</v>
      </c>
    </row>
    <row r="20" spans="1:6" x14ac:dyDescent="0.3">
      <c r="A20" t="s">
        <v>23</v>
      </c>
      <c r="B20" s="1">
        <v>11068830</v>
      </c>
      <c r="C20">
        <v>173</v>
      </c>
      <c r="D20">
        <v>110</v>
      </c>
      <c r="E20">
        <f t="shared" si="1"/>
        <v>469</v>
      </c>
      <c r="F20" s="2">
        <f t="shared" si="0"/>
        <v>38134.111735386665</v>
      </c>
    </row>
    <row r="21" spans="1:6" x14ac:dyDescent="0.3">
      <c r="A21" t="s">
        <v>24</v>
      </c>
      <c r="B21" s="1">
        <v>11068830</v>
      </c>
      <c r="C21">
        <v>124</v>
      </c>
      <c r="D21">
        <v>51</v>
      </c>
      <c r="E21">
        <f t="shared" si="1"/>
        <v>395</v>
      </c>
      <c r="F21" s="2">
        <f t="shared" si="0"/>
        <v>32117.21564067747</v>
      </c>
    </row>
    <row r="22" spans="1:6" x14ac:dyDescent="0.3">
      <c r="A22" t="s">
        <v>25</v>
      </c>
      <c r="B22" s="1">
        <v>11068830</v>
      </c>
      <c r="C22">
        <v>66</v>
      </c>
      <c r="D22">
        <v>28</v>
      </c>
      <c r="E22">
        <f t="shared" si="1"/>
        <v>222</v>
      </c>
      <c r="F22" s="2">
        <f t="shared" si="0"/>
        <v>18050.688284127591</v>
      </c>
    </row>
    <row r="23" spans="1:6" x14ac:dyDescent="0.3">
      <c r="A23" t="s">
        <v>26</v>
      </c>
      <c r="B23" s="1">
        <v>11068830</v>
      </c>
      <c r="C23">
        <v>32</v>
      </c>
      <c r="D23">
        <v>33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덴티움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2025-01-28T10:41:40Z</dcterms:created>
  <dcterms:modified xsi:type="dcterms:W3CDTF">2025-02-02T01:21:51Z</dcterms:modified>
</cp:coreProperties>
</file>