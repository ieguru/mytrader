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AD554B8A-CEE7-4493-9FC9-3613F778B34A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HS효성첨단소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E18" i="1"/>
  <c r="E19" i="1"/>
  <c r="E20" i="1"/>
  <c r="E21" i="1"/>
  <c r="E22" i="1"/>
  <c r="E23" i="1"/>
  <c r="E24" i="1"/>
  <c r="E3" i="1"/>
  <c r="E2" i="1"/>
  <c r="F2" i="1" s="1"/>
  <c r="F24" i="1"/>
  <c r="F23" i="1"/>
  <c r="F22" i="1"/>
  <c r="F21" i="1"/>
  <c r="F20" i="1"/>
  <c r="F19" i="1"/>
  <c r="F18" i="1"/>
  <c r="F17" i="1"/>
  <c r="F16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<sst xmlns="http://schemas.openxmlformats.org/spreadsheetml/2006/main" count="29" uniqueCount="28">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</sst>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42" applyNumberFormat="1" applyFont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76" fontId="14" fillId="33" borderId="10" xfId="0" applyNumberFormat="1" applyFont="1" applyFill="1" applyBorder="1">
      <alignment vertical="center"/>
    </xf>
    <xf numFmtId="176" fontId="0" fillId="0" borderId="10" xfId="42" applyNumberFormat="1" applyFont="1" applyBorder="1">
      <alignment vertical="center"/>
    </xf>
    <xf numFmtId="176" fontId="14" fillId="0" borderId="10" xfId="0" applyNumberFormat="1" applyFon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8"/>
  <sheetViews>
    <sheetView tabSelected="1" workbookViewId="0">
      <selection sqref="A1:F24"/>
    </sheetView>
  </sheetViews>
  <sheetFormatPr defaultRowHeight="16.899999999999999" x14ac:dyDescent="0.6"/>
  <cols>
    <col min="2" max="2" width="11.4375" bestFit="1" customWidth="1"/>
    <col min="3" max="4" width="9.0625" bestFit="1" customWidth="1"/>
    <col min="5" max="5" width="12.8125" customWidth="1"/>
    <col min="6" max="6" width="9.125" bestFit="1" customWidth="1"/>
  </cols>
  <sheetData>
    <row r="1" spans="1:6" x14ac:dyDescent="0.6">
      <c r="A1" s="3" t="s">
        <v>0</v>
      </c>
      <c r="B1" s="3" t="s">
        <v>23</v>
      </c>
      <c r="C1" s="3" t="s">
        <v>1</v>
      </c>
      <c r="D1" s="3" t="s">
        <v>2</v>
      </c>
      <c r="E1" s="3" t="s">
        <v>21</v>
      </c>
      <c r="F1" s="3" t="s">
        <v>22</v>
      </c>
    </row>
    <row r="2" spans="1:6" x14ac:dyDescent="0.6">
      <c r="A2" s="3" t="s">
        <v>27</v>
      </c>
      <c r="B2" s="4">
        <v>4479948</v>
      </c>
      <c r="C2" s="5">
        <v>591</v>
      </c>
      <c r="D2" s="5">
        <v>197</v>
      </c>
      <c r="E2" s="6">
        <f>(C2*2+C3*2)</f>
        <v>2174.8000000000002</v>
      </c>
      <c r="F2" s="6">
        <f>E2*100000000/B2*7</f>
        <v>339816.44429801422</v>
      </c>
    </row>
    <row r="3" spans="1:6" x14ac:dyDescent="0.6">
      <c r="A3" s="3" t="s">
        <v>27</v>
      </c>
      <c r="B3" s="4">
        <v>4479948</v>
      </c>
      <c r="C3" s="5">
        <v>496.4</v>
      </c>
      <c r="D3" s="5">
        <v>132</v>
      </c>
      <c r="E3" s="6">
        <f>(C3*2+C2*2)</f>
        <v>2174.8000000000002</v>
      </c>
      <c r="F3" s="6">
        <f>E3*100000000/B3*7</f>
        <v>339816.44429801422</v>
      </c>
    </row>
    <row r="4" spans="1:6" x14ac:dyDescent="0.6">
      <c r="A4" s="3" t="s">
        <v>26</v>
      </c>
      <c r="B4" s="4">
        <v>4479948</v>
      </c>
      <c r="C4" s="5">
        <v>320</v>
      </c>
      <c r="D4" s="5">
        <v>61</v>
      </c>
      <c r="E4" s="6">
        <f t="shared" ref="E4:E24" si="0">(C4*2+C3*2)</f>
        <v>1632.8</v>
      </c>
      <c r="F4" s="6">
        <f t="shared" ref="F4:F24" si="1">E4*100000000/B4*7</f>
        <v>255127.96130669373</v>
      </c>
    </row>
    <row r="5" spans="1:6" x14ac:dyDescent="0.6">
      <c r="A5" s="3" t="s">
        <v>25</v>
      </c>
      <c r="B5" s="4">
        <v>4479948</v>
      </c>
      <c r="C5" s="5">
        <v>316</v>
      </c>
      <c r="D5" s="5">
        <v>-9</v>
      </c>
      <c r="E5" s="6">
        <f t="shared" si="0"/>
        <v>1272</v>
      </c>
      <c r="F5" s="6">
        <f t="shared" si="1"/>
        <v>198752.30694641991</v>
      </c>
    </row>
    <row r="6" spans="1:6" x14ac:dyDescent="0.6">
      <c r="A6" s="3" t="s">
        <v>24</v>
      </c>
      <c r="B6" s="4">
        <v>4479948</v>
      </c>
      <c r="C6" s="5">
        <v>193</v>
      </c>
      <c r="D6" s="5">
        <v>-136</v>
      </c>
      <c r="E6" s="6">
        <f t="shared" si="0"/>
        <v>1018</v>
      </c>
      <c r="F6" s="6">
        <f t="shared" si="1"/>
        <v>159064.34628259079</v>
      </c>
    </row>
    <row r="7" spans="1:6" x14ac:dyDescent="0.6">
      <c r="A7" s="3" t="s">
        <v>20</v>
      </c>
      <c r="B7" s="4">
        <v>4479948</v>
      </c>
      <c r="C7" s="7">
        <v>587</v>
      </c>
      <c r="D7" s="7">
        <v>-95</v>
      </c>
      <c r="E7" s="6">
        <f t="shared" si="0"/>
        <v>1560</v>
      </c>
      <c r="F7" s="6">
        <f t="shared" si="1"/>
        <v>243752.82927391122</v>
      </c>
    </row>
    <row r="8" spans="1:6" x14ac:dyDescent="0.6">
      <c r="A8" s="3" t="s">
        <v>3</v>
      </c>
      <c r="B8" s="4">
        <v>4479948</v>
      </c>
      <c r="C8" s="7">
        <v>491</v>
      </c>
      <c r="D8" s="7">
        <v>101</v>
      </c>
      <c r="E8" s="6">
        <f t="shared" si="0"/>
        <v>2156</v>
      </c>
      <c r="F8" s="6">
        <f t="shared" si="1"/>
        <v>336878.91020163626</v>
      </c>
    </row>
    <row r="9" spans="1:6" x14ac:dyDescent="0.6">
      <c r="A9" s="3" t="s">
        <v>4</v>
      </c>
      <c r="B9" s="4">
        <v>4479948</v>
      </c>
      <c r="C9" s="4">
        <v>460</v>
      </c>
      <c r="D9" s="4">
        <v>238</v>
      </c>
      <c r="E9" s="6">
        <f t="shared" si="0"/>
        <v>1902</v>
      </c>
      <c r="F9" s="6">
        <f t="shared" si="1"/>
        <v>297190.94953780714</v>
      </c>
    </row>
    <row r="10" spans="1:6" x14ac:dyDescent="0.6">
      <c r="A10" s="3" t="s">
        <v>5</v>
      </c>
      <c r="B10" s="4">
        <v>4479948</v>
      </c>
      <c r="C10" s="4">
        <v>442</v>
      </c>
      <c r="D10" s="4">
        <v>23</v>
      </c>
      <c r="E10" s="6">
        <f t="shared" si="0"/>
        <v>1804</v>
      </c>
      <c r="F10" s="6">
        <f t="shared" si="1"/>
        <v>281878.27180136915</v>
      </c>
    </row>
    <row r="11" spans="1:6" x14ac:dyDescent="0.6">
      <c r="A11" s="3" t="s">
        <v>6</v>
      </c>
      <c r="B11" s="4">
        <v>4479948</v>
      </c>
      <c r="C11" s="4">
        <v>658</v>
      </c>
      <c r="D11" s="4">
        <v>262</v>
      </c>
      <c r="E11" s="6">
        <f t="shared" si="0"/>
        <v>2200</v>
      </c>
      <c r="F11" s="6">
        <f t="shared" si="1"/>
        <v>343753.99000166968</v>
      </c>
    </row>
    <row r="12" spans="1:6" x14ac:dyDescent="0.6">
      <c r="A12" s="3" t="s">
        <v>7</v>
      </c>
      <c r="B12" s="4">
        <v>4479948</v>
      </c>
      <c r="C12" s="4">
        <v>637</v>
      </c>
      <c r="D12" s="4">
        <v>259</v>
      </c>
      <c r="E12" s="6">
        <f t="shared" si="0"/>
        <v>2590</v>
      </c>
      <c r="F12" s="6">
        <f t="shared" si="1"/>
        <v>404692.19732014748</v>
      </c>
    </row>
    <row r="13" spans="1:6" x14ac:dyDescent="0.6">
      <c r="A13" s="3" t="s">
        <v>8</v>
      </c>
      <c r="B13" s="4">
        <v>4479948</v>
      </c>
      <c r="C13" s="4">
        <v>208</v>
      </c>
      <c r="D13" s="4">
        <v>-94</v>
      </c>
      <c r="E13" s="6">
        <f t="shared" si="0"/>
        <v>1690</v>
      </c>
      <c r="F13" s="6">
        <f t="shared" si="1"/>
        <v>264065.5650467372</v>
      </c>
    </row>
    <row r="14" spans="1:6" x14ac:dyDescent="0.6">
      <c r="A14" s="3" t="s">
        <v>9</v>
      </c>
      <c r="B14" s="4">
        <v>4479948</v>
      </c>
      <c r="C14" s="4">
        <v>357</v>
      </c>
      <c r="D14" s="4">
        <v>28</v>
      </c>
      <c r="E14" s="6">
        <f t="shared" si="0"/>
        <v>1130</v>
      </c>
      <c r="F14" s="6">
        <f t="shared" si="1"/>
        <v>176564.54940994849</v>
      </c>
    </row>
    <row r="15" spans="1:6" x14ac:dyDescent="0.6">
      <c r="A15" s="3" t="s">
        <v>10</v>
      </c>
      <c r="B15" s="4">
        <v>4479948</v>
      </c>
      <c r="C15" s="4">
        <v>486</v>
      </c>
      <c r="D15" s="4">
        <v>139</v>
      </c>
      <c r="E15" s="6">
        <f t="shared" si="0"/>
        <v>1686</v>
      </c>
      <c r="F15" s="6">
        <f t="shared" si="1"/>
        <v>263440.55779218866</v>
      </c>
    </row>
    <row r="16" spans="1:6" x14ac:dyDescent="0.6">
      <c r="A16" s="3" t="s">
        <v>11</v>
      </c>
      <c r="B16" s="4">
        <v>4479948</v>
      </c>
      <c r="C16" s="4">
        <v>673</v>
      </c>
      <c r="D16" s="4">
        <v>400</v>
      </c>
      <c r="E16" s="6">
        <f t="shared" si="0"/>
        <v>2318</v>
      </c>
      <c r="F16" s="6">
        <f t="shared" si="1"/>
        <v>362191.70401085011</v>
      </c>
    </row>
    <row r="17" spans="1:6" x14ac:dyDescent="0.6">
      <c r="A17" s="3" t="s">
        <v>12</v>
      </c>
      <c r="B17" s="4">
        <v>4479948</v>
      </c>
      <c r="C17" s="4">
        <v>498</v>
      </c>
      <c r="D17" s="4">
        <v>56</v>
      </c>
      <c r="E17" s="6">
        <f t="shared" si="0"/>
        <v>2342</v>
      </c>
      <c r="F17" s="6">
        <f t="shared" si="1"/>
        <v>365941.74753814109</v>
      </c>
    </row>
    <row r="18" spans="1:6" x14ac:dyDescent="0.6">
      <c r="A18" s="3" t="s">
        <v>13</v>
      </c>
      <c r="B18" s="4">
        <v>4479948</v>
      </c>
      <c r="C18" s="4">
        <v>661</v>
      </c>
      <c r="D18" s="4">
        <v>260</v>
      </c>
      <c r="E18" s="6">
        <f t="shared" si="0"/>
        <v>2318</v>
      </c>
      <c r="F18" s="6">
        <f t="shared" si="1"/>
        <v>362191.70401085011</v>
      </c>
    </row>
    <row r="19" spans="1:6" x14ac:dyDescent="0.6">
      <c r="A19" s="3" t="s">
        <v>14</v>
      </c>
      <c r="B19" s="4">
        <v>4479948</v>
      </c>
      <c r="C19" s="4">
        <v>976</v>
      </c>
      <c r="D19" s="4">
        <v>579</v>
      </c>
      <c r="E19" s="6">
        <f t="shared" si="0"/>
        <v>3274</v>
      </c>
      <c r="F19" s="6">
        <f t="shared" si="1"/>
        <v>511568.43784793932</v>
      </c>
    </row>
    <row r="20" spans="1:6" x14ac:dyDescent="0.6">
      <c r="A20" s="3" t="s">
        <v>15</v>
      </c>
      <c r="B20" s="4">
        <v>4479948</v>
      </c>
      <c r="C20" s="4">
        <v>1016</v>
      </c>
      <c r="D20" s="4">
        <v>708</v>
      </c>
      <c r="E20" s="6">
        <f t="shared" si="0"/>
        <v>3984</v>
      </c>
      <c r="F20" s="6">
        <f t="shared" si="1"/>
        <v>622507.22553029633</v>
      </c>
    </row>
    <row r="21" spans="1:6" x14ac:dyDescent="0.6">
      <c r="A21" s="3" t="s">
        <v>16</v>
      </c>
      <c r="B21" s="4">
        <v>4479948</v>
      </c>
      <c r="C21" s="4">
        <v>963</v>
      </c>
      <c r="D21" s="4">
        <v>756</v>
      </c>
      <c r="E21" s="6">
        <f t="shared" si="0"/>
        <v>3958</v>
      </c>
      <c r="F21" s="6">
        <f t="shared" si="1"/>
        <v>618444.67837573122</v>
      </c>
    </row>
    <row r="22" spans="1:6" x14ac:dyDescent="0.6">
      <c r="A22" s="3" t="s">
        <v>17</v>
      </c>
      <c r="B22" s="4">
        <v>4479948</v>
      </c>
      <c r="C22" s="4">
        <v>1398</v>
      </c>
      <c r="D22" s="4">
        <v>996</v>
      </c>
      <c r="E22" s="6">
        <f t="shared" si="0"/>
        <v>4722</v>
      </c>
      <c r="F22" s="6">
        <f t="shared" si="1"/>
        <v>737821.06399449275</v>
      </c>
    </row>
    <row r="23" spans="1:6" x14ac:dyDescent="0.6">
      <c r="A23" s="3" t="s">
        <v>18</v>
      </c>
      <c r="B23" s="4">
        <v>4479948</v>
      </c>
      <c r="C23" s="4">
        <v>1178</v>
      </c>
      <c r="D23" s="4">
        <v>1006</v>
      </c>
      <c r="E23" s="6">
        <f t="shared" si="0"/>
        <v>5152</v>
      </c>
      <c r="F23" s="6">
        <f t="shared" si="1"/>
        <v>805009.34385845542</v>
      </c>
    </row>
    <row r="24" spans="1:6" x14ac:dyDescent="0.6">
      <c r="A24" s="3" t="s">
        <v>19</v>
      </c>
      <c r="B24" s="4">
        <v>4479948</v>
      </c>
      <c r="C24" s="4">
        <v>834</v>
      </c>
      <c r="D24" s="4">
        <v>542</v>
      </c>
      <c r="E24" s="6">
        <f t="shared" si="0"/>
        <v>4024</v>
      </c>
      <c r="F24" s="6">
        <f t="shared" si="1"/>
        <v>628757.2980757812</v>
      </c>
    </row>
    <row r="25" spans="1:6" x14ac:dyDescent="0.6">
      <c r="B25" s="1"/>
      <c r="C25" s="1"/>
      <c r="D25" s="1"/>
      <c r="E25" s="2"/>
      <c r="F25" s="2"/>
    </row>
    <row r="26" spans="1:6" x14ac:dyDescent="0.6">
      <c r="B26" s="1"/>
      <c r="C26" s="1"/>
      <c r="D26" s="1"/>
      <c r="E26" s="1"/>
      <c r="F26" s="1"/>
    </row>
    <row r="27" spans="1:6" x14ac:dyDescent="0.6">
      <c r="B27" s="1"/>
      <c r="C27" s="1"/>
      <c r="D27" s="1"/>
      <c r="E27" s="1"/>
      <c r="F27" s="1"/>
    </row>
    <row r="28" spans="1:6" x14ac:dyDescent="0.6">
      <c r="B28" s="1"/>
      <c r="C28" s="1"/>
      <c r="D28" s="1"/>
      <c r="E28" s="1"/>
      <c r="F2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HS효성첨단소재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2026-05-04T00:31:32Z</dcterms:modified>
</cp:coreProperties>
</file>