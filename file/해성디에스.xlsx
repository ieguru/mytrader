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6B632BB0-B73D-4756-B35B-86CA98B2FECE}" xr6:coauthVersionLast="47" xr6:coauthVersionMax="47" xr10:uidLastSave="{00000000-0000-0000-0000-000000000000}"/>
  <bookViews>
    <workbookView xWindow="-120" yWindow="-120" windowWidth="29040" windowHeight="15720" xr2:uid="{DA083A8F-9A99-4A58-981A-1E6F0C42539A}"/>
  </bookViews>
  <sheets>
    <sheet name="해성디에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E21" i="1"/>
  <c r="F21" i="1" s="1"/>
  <c r="E20" i="1"/>
  <c r="F20" i="1" s="1"/>
  <c r="E19" i="1"/>
  <c r="F19" i="1" s="1"/>
  <c r="E18" i="1"/>
  <c r="F18" i="1" s="1"/>
  <c r="E17" i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<sst xmlns="http://schemas.openxmlformats.org/spreadsheetml/2006/main" count="28" uniqueCount="28">
  <si>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</si>
  <si>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</si>
  <si>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</si>
  <si>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</si>
  <si>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</si>
  <si>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</si>
  <si>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</si>
  <si>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</si>
  <si>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</si>
  <si>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</si>
  <si>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</si>
  <si>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</si>
  <si>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</si>
  <si>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</si>
  <si>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</si>
  <si>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</si>
  <si>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</si>
  <si>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</si>
  <si>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</si>
  <si>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</si>
  <si>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</si>
  <si>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</si>
  <si>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4Q_income</t>
  </si>
  <si>
    <t>목표가</t>
  </si>
  <si>
    <t>2025.2Q</t>
    <phoneticPr fontId="18" type="noConversion"/>
  </si>
  <si>
    <t>상장주식수</t>
    <phoneticPr fontId="18" type="noConversion"/>
  </si>
  <si>
    <t>2020.2Q</t>
    <phoneticPr fontId="18" type="noConversion"/>
  </si>
  <si>
    <t>2020.31Q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</si>
</sst>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3"/>
  <sheetViews>
    <sheetView tabSelected="1" workbookViewId="0">
      <selection activeCell="H31" sqref="H31"/>
    </sheetView>
  </sheetViews>
  <sheetFormatPr defaultRowHeight="16.5" x14ac:dyDescent="0.3"/>
  <cols>
    <col min="2" max="2" width="10.25" bestFit="1" customWidth="1"/>
  </cols>
  <sheetData>
    <row r="1" spans="1:6" x14ac:dyDescent="0.3">
      <c r="A1" t="s">
        <v>0</v>
      </c>
      <c r="B1" t="s">
        <v>25</v>
      </c>
      <c r="C1" t="s">
        <v>1</v>
      </c>
      <c r="D1" t="s">
        <v>2</v>
      </c>
      <c r="E1" t="s">
        <v>22</v>
      </c>
      <c r="F1" t="s">
        <v>23</v>
      </c>
    </row>
    <row r="2" spans="1:6" x14ac:dyDescent="0.3">
      <c r="A2" t="s">
        <v>24</v>
      </c>
      <c r="B2" s="2">
        <v>17000000</v>
      </c>
      <c r="C2" s="3">
        <v>147</v>
      </c>
      <c r="D2" s="3">
        <v>151</v>
      </c>
      <c r="E2">
        <f>SUM(C2:C5)</f>
        <v>525</v>
      </c>
      <c r="F2" s="1">
        <f>E2*100000000/B2*10</f>
        <v>30882.352941176468</v>
      </c>
    </row>
    <row r="3" spans="1:6" x14ac:dyDescent="0.3">
      <c r="A3" t="s">
        <v>3</v>
      </c>
      <c r="B3" s="2">
        <v>17000000</v>
      </c>
      <c r="C3">
        <v>125</v>
      </c>
      <c r="D3">
        <v>89</v>
      </c>
      <c r="E3">
        <f>SUM(C2:C5)</f>
        <v>525</v>
      </c>
      <c r="F3" s="1">
        <f t="shared" ref="F3:F21" si="0">E3*100000000/B3*10</f>
        <v>30882.352941176468</v>
      </c>
    </row>
    <row r="4" spans="1:6" x14ac:dyDescent="0.3">
      <c r="A4" t="s">
        <v>4</v>
      </c>
      <c r="B4" s="2">
        <v>17000000</v>
      </c>
      <c r="C4">
        <v>136</v>
      </c>
      <c r="D4">
        <v>100</v>
      </c>
      <c r="E4">
        <f t="shared" ref="E4:E21" si="1">SUM(C3:C6)</f>
        <v>558</v>
      </c>
      <c r="F4" s="1">
        <f t="shared" si="0"/>
        <v>32823.529411764706</v>
      </c>
    </row>
    <row r="5" spans="1:6" x14ac:dyDescent="0.3">
      <c r="A5" t="s">
        <v>5</v>
      </c>
      <c r="B5" s="2">
        <v>17000000</v>
      </c>
      <c r="C5">
        <v>117</v>
      </c>
      <c r="D5">
        <v>60</v>
      </c>
      <c r="E5">
        <f t="shared" si="1"/>
        <v>642</v>
      </c>
      <c r="F5" s="1">
        <f t="shared" si="0"/>
        <v>37764.705882352944</v>
      </c>
    </row>
    <row r="6" spans="1:6" x14ac:dyDescent="0.3">
      <c r="A6" t="s">
        <v>6</v>
      </c>
      <c r="B6" s="2">
        <v>17000000</v>
      </c>
      <c r="C6">
        <v>180</v>
      </c>
      <c r="D6">
        <v>210</v>
      </c>
      <c r="E6">
        <f t="shared" si="1"/>
        <v>669</v>
      </c>
      <c r="F6" s="1">
        <f t="shared" si="0"/>
        <v>39352.941176470587</v>
      </c>
    </row>
    <row r="7" spans="1:6" x14ac:dyDescent="0.3">
      <c r="A7" t="s">
        <v>7</v>
      </c>
      <c r="B7" s="2">
        <v>17000000</v>
      </c>
      <c r="C7">
        <v>209</v>
      </c>
      <c r="D7">
        <v>195</v>
      </c>
      <c r="E7">
        <f t="shared" si="1"/>
        <v>746</v>
      </c>
      <c r="F7" s="1">
        <f t="shared" si="0"/>
        <v>43882.352941176468</v>
      </c>
    </row>
    <row r="8" spans="1:6" x14ac:dyDescent="0.3">
      <c r="A8" t="s">
        <v>8</v>
      </c>
      <c r="B8" s="2">
        <v>17000000</v>
      </c>
      <c r="C8">
        <v>163</v>
      </c>
      <c r="D8">
        <v>106</v>
      </c>
      <c r="E8">
        <f t="shared" si="1"/>
        <v>923</v>
      </c>
      <c r="F8" s="1">
        <f t="shared" si="0"/>
        <v>54294.117647058818</v>
      </c>
    </row>
    <row r="9" spans="1:6" x14ac:dyDescent="0.3">
      <c r="A9" t="s">
        <v>9</v>
      </c>
      <c r="B9" s="2">
        <v>17000000</v>
      </c>
      <c r="C9">
        <v>194</v>
      </c>
      <c r="D9">
        <v>172</v>
      </c>
      <c r="E9">
        <f t="shared" si="1"/>
        <v>1025</v>
      </c>
      <c r="F9" s="1">
        <f t="shared" si="0"/>
        <v>60294.117647058818</v>
      </c>
    </row>
    <row r="10" spans="1:6" x14ac:dyDescent="0.3">
      <c r="A10" t="s">
        <v>10</v>
      </c>
      <c r="B10" s="2">
        <v>17000000</v>
      </c>
      <c r="C10">
        <v>357</v>
      </c>
      <c r="D10">
        <v>294</v>
      </c>
      <c r="E10">
        <f t="shared" si="1"/>
        <v>1308</v>
      </c>
      <c r="F10" s="1">
        <f t="shared" si="0"/>
        <v>76941.176470588238</v>
      </c>
    </row>
    <row r="11" spans="1:6" x14ac:dyDescent="0.3">
      <c r="A11" t="s">
        <v>11</v>
      </c>
      <c r="B11" s="2">
        <v>17000000</v>
      </c>
      <c r="C11">
        <v>311</v>
      </c>
      <c r="D11">
        <v>273</v>
      </c>
      <c r="E11">
        <f t="shared" si="1"/>
        <v>1688</v>
      </c>
      <c r="F11" s="1">
        <f t="shared" si="0"/>
        <v>99294.117647058825</v>
      </c>
    </row>
    <row r="12" spans="1:6" x14ac:dyDescent="0.3">
      <c r="A12" t="s">
        <v>12</v>
      </c>
      <c r="B12" s="2">
        <v>17000000</v>
      </c>
      <c r="C12">
        <v>446</v>
      </c>
      <c r="D12">
        <v>224</v>
      </c>
      <c r="E12">
        <f t="shared" si="1"/>
        <v>1872</v>
      </c>
      <c r="F12" s="1">
        <f t="shared" si="0"/>
        <v>110117.64705882352</v>
      </c>
    </row>
    <row r="13" spans="1:6" x14ac:dyDescent="0.3">
      <c r="A13" t="s">
        <v>13</v>
      </c>
      <c r="B13" s="2">
        <v>17000000</v>
      </c>
      <c r="C13">
        <v>574</v>
      </c>
      <c r="D13">
        <v>515</v>
      </c>
      <c r="E13">
        <f t="shared" si="1"/>
        <v>2044</v>
      </c>
      <c r="F13" s="1">
        <f t="shared" si="0"/>
        <v>120235.29411764706</v>
      </c>
    </row>
    <row r="14" spans="1:6" x14ac:dyDescent="0.3">
      <c r="A14" t="s">
        <v>14</v>
      </c>
      <c r="B14" s="2">
        <v>17000000</v>
      </c>
      <c r="C14">
        <v>541</v>
      </c>
      <c r="D14">
        <v>458</v>
      </c>
      <c r="E14">
        <f t="shared" si="1"/>
        <v>1897</v>
      </c>
      <c r="F14" s="1">
        <f t="shared" si="0"/>
        <v>111588.23529411764</v>
      </c>
    </row>
    <row r="15" spans="1:6" x14ac:dyDescent="0.3">
      <c r="A15" t="s">
        <v>15</v>
      </c>
      <c r="B15" s="2">
        <v>17000000</v>
      </c>
      <c r="C15">
        <v>483</v>
      </c>
      <c r="D15">
        <v>398</v>
      </c>
      <c r="E15">
        <f t="shared" si="1"/>
        <v>1603</v>
      </c>
      <c r="F15" s="1">
        <f t="shared" si="0"/>
        <v>94294.117647058825</v>
      </c>
    </row>
    <row r="16" spans="1:6" x14ac:dyDescent="0.3">
      <c r="A16" t="s">
        <v>16</v>
      </c>
      <c r="B16" s="2">
        <v>17000000</v>
      </c>
      <c r="C16">
        <v>299</v>
      </c>
      <c r="D16">
        <v>242</v>
      </c>
      <c r="E16">
        <f t="shared" si="1"/>
        <v>1244</v>
      </c>
      <c r="F16" s="1">
        <f t="shared" si="0"/>
        <v>73176.470588235301</v>
      </c>
    </row>
    <row r="17" spans="1:6" x14ac:dyDescent="0.3">
      <c r="A17" t="s">
        <v>17</v>
      </c>
      <c r="B17" s="2">
        <v>17000000</v>
      </c>
      <c r="C17">
        <v>280</v>
      </c>
      <c r="D17">
        <v>229</v>
      </c>
      <c r="E17">
        <f t="shared" si="1"/>
        <v>863</v>
      </c>
      <c r="F17" s="1">
        <f t="shared" si="0"/>
        <v>50764.705882352937</v>
      </c>
    </row>
    <row r="18" spans="1:6" x14ac:dyDescent="0.3">
      <c r="A18" t="s">
        <v>18</v>
      </c>
      <c r="B18" s="2">
        <v>17000000</v>
      </c>
      <c r="C18">
        <v>182</v>
      </c>
      <c r="D18">
        <v>147</v>
      </c>
      <c r="E18">
        <f t="shared" si="1"/>
        <v>625</v>
      </c>
      <c r="F18" s="1">
        <f t="shared" si="0"/>
        <v>36764.705882352944</v>
      </c>
    </row>
    <row r="19" spans="1:6" x14ac:dyDescent="0.3">
      <c r="A19" t="s">
        <v>19</v>
      </c>
      <c r="B19" s="2">
        <v>17000000</v>
      </c>
      <c r="C19">
        <v>102</v>
      </c>
      <c r="D19">
        <v>93</v>
      </c>
      <c r="E19">
        <f t="shared" si="1"/>
        <v>470</v>
      </c>
      <c r="F19" s="1">
        <f t="shared" si="0"/>
        <v>27647.058823529409</v>
      </c>
    </row>
    <row r="20" spans="1:6" x14ac:dyDescent="0.3">
      <c r="A20" t="s">
        <v>20</v>
      </c>
      <c r="B20" s="2">
        <v>17000000</v>
      </c>
      <c r="C20">
        <v>61</v>
      </c>
      <c r="D20">
        <v>22</v>
      </c>
      <c r="E20">
        <f t="shared" si="1"/>
        <v>435</v>
      </c>
      <c r="F20" s="1">
        <f t="shared" si="0"/>
        <v>25588.23529411765</v>
      </c>
    </row>
    <row r="21" spans="1:6" x14ac:dyDescent="0.3">
      <c r="A21" t="s">
        <v>21</v>
      </c>
      <c r="B21" s="2">
        <v>17000000</v>
      </c>
      <c r="C21">
        <v>125</v>
      </c>
      <c r="D21">
        <v>84</v>
      </c>
      <c r="E21">
        <f t="shared" si="1"/>
        <v>436</v>
      </c>
      <c r="F21" s="1">
        <f t="shared" si="0"/>
        <v>25647.058823529409</v>
      </c>
    </row>
    <row r="22" spans="1:6" x14ac:dyDescent="0.3">
      <c r="A22" t="s">
        <v>26</v>
      </c>
      <c r="B22" s="2">
        <v>17000000</v>
      </c>
      <c r="C22">
        <v>147</v>
      </c>
      <c r="D22">
        <v>103</v>
      </c>
      <c r="F22" s="1"/>
    </row>
    <row r="23" spans="1:6" x14ac:dyDescent="0.3">
      <c r="A23" t="s">
        <v>27</v>
      </c>
      <c r="B23" s="2">
        <v>17000000</v>
      </c>
      <c r="C23">
        <v>103</v>
      </c>
      <c r="D23">
        <v>91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해성디에스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2025-01-30T13:01:03Z</dcterms:created>
  <dcterms:modified xsi:type="dcterms:W3CDTF">2025-02-15T05:25:24Z</dcterms:modified>
</cp:coreProperties>
</file>