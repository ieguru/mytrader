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E789B45B-F691-417E-8325-77C378B3F57A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농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4" i="1"/>
  <c r="F4" i="1" s="1"/>
  <c r="E3" i="1"/>
  <c r="F3" i="1" s="1"/>
  <c r="E2" i="1"/>
  <c r="F2" i="1" s="1"/>
  <c r="F11" i="1"/>
  <c r="F12" i="1"/>
  <c r="F13" i="1"/>
  <c r="F14" i="1"/>
  <c r="F15" i="1"/>
  <c r="F16" i="1"/>
  <c r="F5" i="1"/>
  <c r="F9" i="1"/>
  <c r="F10" i="1"/>
  <c r="F8" i="1"/>
  <c r="F7" i="1"/>
  <c r="F6" i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<sst xmlns="http://schemas.openxmlformats.org/spreadsheetml/2006/main" count="32" uniqueCount="32">
  <si>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</si>
  <si>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</si>
  <si>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</si>
  <si>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</si>
  <si>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</si>
  <si>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</si>
  <si>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</si>
  <si>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</si>
  <si>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</si>
  <si>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</si>
  <si>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</si>
  <si>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</si>
  <si>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</si>
  <si>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</si>
  <si>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</si>
  <si>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</si>
  <si>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</si>
  <si>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</si>
  <si>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</si>
  <si>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</si>
  <si>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</si>
  <si>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</si>
  <si>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</si>
  <si>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</si>
  <si>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</si>
  <si>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</si>
  <si>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</si>
  <si>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</si>
  <si>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2026.4Q</t>
    <phoneticPr fontId="18" type="noConversion"/>
  </si>
  <si>
    <t>2026.3Q</t>
    <phoneticPr fontId="18" type="noConversion"/>
  </si>
  <si>
    <t>2026.2Q</t>
    <phoneticPr fontId="18" type="noConversion"/>
  </si>
  <si>
    <t>2027.1Q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</si>
</sst>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3" fontId="14" fillId="33" borderId="0" xfId="0" applyNumberFormat="1" applyFont="1" applyFill="1">
      <alignment vertical="center"/>
    </xf>
    <xf numFmtId="3" fontId="0" fillId="33" borderId="0" xfId="0" applyNumberForma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30"/>
  <sheetViews>
    <sheetView tabSelected="1" workbookViewId="0">
      <selection activeCell="F2" sqref="F2"/>
    </sheetView>
  </sheetViews>
  <sheetFormatPr defaultRowHeight="16.899999999999999" x14ac:dyDescent="0.6"/>
  <cols>
    <col min="2" max="2" width="10.25" bestFit="1" customWidth="1"/>
    <col min="5" max="5" width="12.8125" customWidth="1"/>
    <col min="6" max="6" width="9.06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31</v>
      </c>
      <c r="B2" s="1">
        <v>6082642</v>
      </c>
      <c r="C2" s="4">
        <v>682</v>
      </c>
      <c r="D2" s="4">
        <v>617</v>
      </c>
      <c r="E2" s="3">
        <f>(D2*2+D3*2)</f>
        <v>2050</v>
      </c>
      <c r="F2" s="3">
        <f>E2*100000000/B2*10</f>
        <v>337024.60213834711</v>
      </c>
    </row>
    <row r="3" spans="1:6" x14ac:dyDescent="0.6">
      <c r="A3" t="s">
        <v>28</v>
      </c>
      <c r="B3" s="1">
        <v>6082642</v>
      </c>
      <c r="C3" s="4">
        <v>439.5</v>
      </c>
      <c r="D3" s="4">
        <v>408</v>
      </c>
      <c r="E3" s="3">
        <f>(D2*2+D3*2)</f>
        <v>2050</v>
      </c>
      <c r="F3" s="3">
        <f>E3*100000000/B3*10</f>
        <v>337024.60213834711</v>
      </c>
    </row>
    <row r="4" spans="1:6" x14ac:dyDescent="0.6">
      <c r="A4" t="s">
        <v>29</v>
      </c>
      <c r="B4" s="1">
        <v>6082642</v>
      </c>
      <c r="C4" s="4">
        <v>621.20000000000005</v>
      </c>
      <c r="D4" s="4">
        <v>550</v>
      </c>
      <c r="E4" s="3">
        <f>(D3+D4*2+D2)</f>
        <v>2125</v>
      </c>
      <c r="F4" s="3">
        <f t="shared" ref="F4:F27" si="0">E4*100000000/B4*10</f>
        <v>349354.77050926222</v>
      </c>
    </row>
    <row r="5" spans="1:6" x14ac:dyDescent="0.6">
      <c r="A5" t="s">
        <v>30</v>
      </c>
      <c r="B5" s="1">
        <v>6082642</v>
      </c>
      <c r="C5" s="4">
        <v>592</v>
      </c>
      <c r="D5" s="4">
        <v>547</v>
      </c>
      <c r="E5" s="3">
        <f t="shared" ref="E5:E27" si="1">(D4+D5*2+D3)</f>
        <v>2052</v>
      </c>
      <c r="F5" s="3">
        <f t="shared" si="0"/>
        <v>337353.40662823815</v>
      </c>
    </row>
    <row r="6" spans="1:6" x14ac:dyDescent="0.6">
      <c r="A6" t="s">
        <v>27</v>
      </c>
      <c r="B6" s="1">
        <v>6082642</v>
      </c>
      <c r="C6" s="5">
        <v>674</v>
      </c>
      <c r="D6" s="5">
        <v>522</v>
      </c>
      <c r="E6" s="3">
        <f t="shared" si="1"/>
        <v>2141</v>
      </c>
      <c r="F6" s="3">
        <f t="shared" si="0"/>
        <v>351985.20642839081</v>
      </c>
    </row>
    <row r="7" spans="1:6" x14ac:dyDescent="0.6">
      <c r="A7" t="s">
        <v>26</v>
      </c>
      <c r="B7" s="1">
        <v>6082642</v>
      </c>
      <c r="C7" s="5">
        <v>333</v>
      </c>
      <c r="D7" s="5">
        <v>374</v>
      </c>
      <c r="E7" s="3">
        <f t="shared" si="1"/>
        <v>1817</v>
      </c>
      <c r="F7" s="3">
        <f t="shared" si="0"/>
        <v>298718.87906603742</v>
      </c>
    </row>
    <row r="8" spans="1:6" x14ac:dyDescent="0.6">
      <c r="A8" t="s">
        <v>25</v>
      </c>
      <c r="B8" s="1">
        <v>6082642</v>
      </c>
      <c r="C8" s="5">
        <v>543</v>
      </c>
      <c r="D8" s="5">
        <v>440</v>
      </c>
      <c r="E8" s="3">
        <f t="shared" si="1"/>
        <v>1776</v>
      </c>
      <c r="F8" s="3">
        <f t="shared" si="0"/>
        <v>291978.38702327048</v>
      </c>
    </row>
    <row r="9" spans="1:6" x14ac:dyDescent="0.6">
      <c r="A9" t="s">
        <v>21</v>
      </c>
      <c r="B9" s="1">
        <v>6082642</v>
      </c>
      <c r="C9" s="1">
        <v>402</v>
      </c>
      <c r="D9" s="1">
        <v>364</v>
      </c>
      <c r="E9" s="3">
        <f t="shared" si="1"/>
        <v>1542</v>
      </c>
      <c r="F9" s="3">
        <f t="shared" si="0"/>
        <v>253508.26170601527</v>
      </c>
    </row>
    <row r="10" spans="1:6" x14ac:dyDescent="0.6">
      <c r="A10" t="s">
        <v>3</v>
      </c>
      <c r="B10" s="1">
        <v>6082642</v>
      </c>
      <c r="C10" s="1">
        <v>561</v>
      </c>
      <c r="D10" s="1">
        <v>522</v>
      </c>
      <c r="E10" s="3">
        <f t="shared" si="1"/>
        <v>1848</v>
      </c>
      <c r="F10" s="3">
        <f t="shared" si="0"/>
        <v>303815.34865934902</v>
      </c>
    </row>
    <row r="11" spans="1:6" x14ac:dyDescent="0.6">
      <c r="A11" t="s">
        <v>4</v>
      </c>
      <c r="B11" s="1">
        <v>6082642</v>
      </c>
      <c r="C11" s="1">
        <v>204</v>
      </c>
      <c r="D11" s="1">
        <v>247</v>
      </c>
      <c r="E11" s="3">
        <f t="shared" si="1"/>
        <v>1380</v>
      </c>
      <c r="F11" s="3">
        <f t="shared" si="0"/>
        <v>226875.09802483855</v>
      </c>
    </row>
    <row r="12" spans="1:6" x14ac:dyDescent="0.6">
      <c r="A12" t="s">
        <v>5</v>
      </c>
      <c r="B12" s="1">
        <v>6082642</v>
      </c>
      <c r="C12" s="1">
        <v>376</v>
      </c>
      <c r="D12" s="1">
        <v>369</v>
      </c>
      <c r="E12" s="3">
        <f t="shared" si="1"/>
        <v>1507</v>
      </c>
      <c r="F12" s="3">
        <f t="shared" si="0"/>
        <v>247754.18313292152</v>
      </c>
    </row>
    <row r="13" spans="1:6" x14ac:dyDescent="0.6">
      <c r="A13" t="s">
        <v>6</v>
      </c>
      <c r="B13" s="1">
        <v>6082642</v>
      </c>
      <c r="C13" s="1">
        <v>437</v>
      </c>
      <c r="D13" s="1">
        <v>428</v>
      </c>
      <c r="E13" s="3">
        <f t="shared" si="1"/>
        <v>1472</v>
      </c>
      <c r="F13" s="3">
        <f t="shared" si="0"/>
        <v>242000.10455982777</v>
      </c>
    </row>
    <row r="14" spans="1:6" x14ac:dyDescent="0.6">
      <c r="A14" t="s">
        <v>7</v>
      </c>
      <c r="B14" s="1">
        <v>6082642</v>
      </c>
      <c r="C14" s="1">
        <v>614</v>
      </c>
      <c r="D14" s="1">
        <v>531</v>
      </c>
      <c r="E14" s="3">
        <f t="shared" si="1"/>
        <v>1859</v>
      </c>
      <c r="F14" s="3">
        <f t="shared" si="0"/>
        <v>305623.77335374989</v>
      </c>
    </row>
    <row r="15" spans="1:6" x14ac:dyDescent="0.6">
      <c r="A15" t="s">
        <v>8</v>
      </c>
      <c r="B15" s="1">
        <v>6082642</v>
      </c>
      <c r="C15" s="1">
        <v>389</v>
      </c>
      <c r="D15" s="1">
        <v>223</v>
      </c>
      <c r="E15" s="3">
        <f t="shared" si="1"/>
        <v>1405</v>
      </c>
      <c r="F15" s="3">
        <f t="shared" si="0"/>
        <v>230985.15414847696</v>
      </c>
    </row>
    <row r="16" spans="1:6" x14ac:dyDescent="0.6">
      <c r="A16" t="s">
        <v>9</v>
      </c>
      <c r="B16" s="1">
        <v>6082642</v>
      </c>
      <c r="C16" s="1">
        <v>557</v>
      </c>
      <c r="D16">
        <v>500</v>
      </c>
      <c r="E16" s="3">
        <f t="shared" si="1"/>
        <v>1754</v>
      </c>
      <c r="F16" s="3">
        <f t="shared" si="0"/>
        <v>288361.5376344687</v>
      </c>
    </row>
    <row r="17" spans="1:6" x14ac:dyDescent="0.6">
      <c r="A17" t="s">
        <v>10</v>
      </c>
      <c r="B17" s="1">
        <v>6082642</v>
      </c>
      <c r="C17">
        <v>537</v>
      </c>
      <c r="D17" s="1">
        <v>450</v>
      </c>
      <c r="E17" s="3">
        <f t="shared" si="1"/>
        <v>1623</v>
      </c>
      <c r="F17" s="3">
        <f t="shared" si="0"/>
        <v>266824.84354660357</v>
      </c>
    </row>
    <row r="18" spans="1:6" x14ac:dyDescent="0.6">
      <c r="A18" t="s">
        <v>11</v>
      </c>
      <c r="B18" s="1">
        <v>6082642</v>
      </c>
      <c r="C18">
        <v>638</v>
      </c>
      <c r="D18">
        <v>541</v>
      </c>
      <c r="E18" s="3">
        <f t="shared" si="1"/>
        <v>2032</v>
      </c>
      <c r="F18" s="3">
        <f t="shared" si="0"/>
        <v>334065.36172932747</v>
      </c>
    </row>
    <row r="19" spans="1:6" x14ac:dyDescent="0.6">
      <c r="A19" t="s">
        <v>12</v>
      </c>
      <c r="B19" s="1">
        <v>6082642</v>
      </c>
      <c r="C19">
        <v>463</v>
      </c>
      <c r="D19" s="1">
        <v>268</v>
      </c>
      <c r="E19" s="3">
        <f t="shared" si="1"/>
        <v>1527</v>
      </c>
      <c r="F19" s="3">
        <f t="shared" si="0"/>
        <v>251042.22803183223</v>
      </c>
    </row>
    <row r="20" spans="1:6" x14ac:dyDescent="0.6">
      <c r="A20" t="s">
        <v>13</v>
      </c>
      <c r="B20" s="1">
        <v>6082642</v>
      </c>
      <c r="C20" s="1">
        <v>273</v>
      </c>
      <c r="D20" s="1">
        <v>283</v>
      </c>
      <c r="E20" s="3">
        <f t="shared" si="1"/>
        <v>1375</v>
      </c>
      <c r="F20" s="3">
        <f t="shared" si="0"/>
        <v>226053.08680011088</v>
      </c>
    </row>
    <row r="21" spans="1:6" x14ac:dyDescent="0.6">
      <c r="A21" t="s">
        <v>14</v>
      </c>
      <c r="B21" s="1">
        <v>6082642</v>
      </c>
      <c r="C21" s="1">
        <v>43</v>
      </c>
      <c r="D21" s="1">
        <v>280</v>
      </c>
      <c r="E21" s="3">
        <f t="shared" si="1"/>
        <v>1111</v>
      </c>
      <c r="F21" s="3">
        <f t="shared" si="0"/>
        <v>182650.89413448959</v>
      </c>
    </row>
    <row r="22" spans="1:6" x14ac:dyDescent="0.6">
      <c r="A22" t="s">
        <v>15</v>
      </c>
      <c r="B22" s="1">
        <v>6082642</v>
      </c>
      <c r="C22" s="1">
        <v>343</v>
      </c>
      <c r="D22" s="1">
        <v>330</v>
      </c>
      <c r="E22" s="3">
        <f t="shared" si="1"/>
        <v>1223</v>
      </c>
      <c r="F22" s="3">
        <f t="shared" si="0"/>
        <v>201063.94556838955</v>
      </c>
    </row>
    <row r="23" spans="1:6" x14ac:dyDescent="0.6">
      <c r="A23" t="s">
        <v>16</v>
      </c>
      <c r="B23" s="1">
        <v>6082642</v>
      </c>
      <c r="C23" s="1">
        <v>314</v>
      </c>
      <c r="D23" s="1">
        <v>270</v>
      </c>
      <c r="E23" s="3">
        <f t="shared" si="1"/>
        <v>1150</v>
      </c>
      <c r="F23" s="3">
        <f t="shared" si="0"/>
        <v>189062.58168736545</v>
      </c>
    </row>
    <row r="24" spans="1:6" x14ac:dyDescent="0.6">
      <c r="A24" t="s">
        <v>17</v>
      </c>
      <c r="B24" s="1">
        <v>6082642</v>
      </c>
      <c r="C24" s="1">
        <v>291</v>
      </c>
      <c r="D24" s="1">
        <v>253</v>
      </c>
      <c r="E24" s="3">
        <f t="shared" si="1"/>
        <v>1106</v>
      </c>
      <c r="F24" s="3">
        <f t="shared" si="0"/>
        <v>181828.88290976192</v>
      </c>
    </row>
    <row r="25" spans="1:6" x14ac:dyDescent="0.6">
      <c r="A25" t="s">
        <v>18</v>
      </c>
      <c r="B25" s="1">
        <v>6082642</v>
      </c>
      <c r="C25" s="1">
        <v>173</v>
      </c>
      <c r="D25" s="1">
        <v>182</v>
      </c>
      <c r="E25" s="3">
        <f t="shared" si="1"/>
        <v>887</v>
      </c>
      <c r="F25" s="3">
        <f t="shared" si="0"/>
        <v>145824.79126668969</v>
      </c>
    </row>
    <row r="26" spans="1:6" x14ac:dyDescent="0.6">
      <c r="A26" t="s">
        <v>19</v>
      </c>
      <c r="B26" s="1">
        <v>6082642</v>
      </c>
      <c r="C26" s="1">
        <v>283</v>
      </c>
      <c r="D26" s="1">
        <v>291</v>
      </c>
      <c r="E26" s="3">
        <f t="shared" si="1"/>
        <v>1017</v>
      </c>
      <c r="F26" s="3">
        <f t="shared" si="0"/>
        <v>167197.08310960926</v>
      </c>
    </row>
    <row r="27" spans="1:6" x14ac:dyDescent="0.6">
      <c r="A27" t="s">
        <v>20</v>
      </c>
      <c r="B27" s="1">
        <v>6082642</v>
      </c>
      <c r="C27">
        <v>260</v>
      </c>
      <c r="D27">
        <v>342</v>
      </c>
      <c r="E27" s="3">
        <f t="shared" si="1"/>
        <v>1157</v>
      </c>
      <c r="F27" s="3">
        <f t="shared" si="0"/>
        <v>190213.39740198423</v>
      </c>
    </row>
    <row r="28" spans="1:6" x14ac:dyDescent="0.6">
      <c r="B28" s="1"/>
      <c r="C28" s="1"/>
      <c r="D28" s="1"/>
      <c r="F28" s="2"/>
    </row>
    <row r="29" spans="1:6" x14ac:dyDescent="0.6">
      <c r="B29" s="1"/>
      <c r="F29" s="2"/>
    </row>
    <row r="30" spans="1:6" x14ac:dyDescent="0.6">
      <c r="B30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농심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2026-10-07T23:39:45Z</dcterms:modified>
</cp:coreProperties>
</file>