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F441FA04-6D1D-473D-8D32-576BB4D22EA3}" xr6:coauthVersionLast="47" xr6:coauthVersionMax="47" xr10:uidLastSave="{00000000-0000-0000-0000-000000000000}"/>
  <bookViews>
    <workbookView xWindow="-98" yWindow="-98" windowWidth="28996" windowHeight="15675" xr2:uid="{574589F6-5CF4-430A-9C77-3C46C2002903}"/>
  </bookViews>
  <sheets>
    <sheet name="현대해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4" i="1"/>
  <c r="F4" i="1" s="1"/>
  <c r="E3" i="1"/>
  <c r="F3" i="1" s="1"/>
  <c r="E2" i="1"/>
  <c r="F2" i="1" s="1"/>
  <c r="F5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<sst xmlns="http://schemas.openxmlformats.org/spreadsheetml/2006/main" count="34" uniqueCount="34">
  <si>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</si>
  <si>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</si>
  <si>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</si>
  <si>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</si>
  <si>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</si>
  <si>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</si>
  <si>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</si>
  <si>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</si>
  <si>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</si>
  <si>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</si>
  <si>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</si>
  <si>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</si>
  <si>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</si>
  <si>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</si>
  <si>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</si>
  <si>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</si>
  <si>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</si>
  <si>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</si>
  <si>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</si>
  <si>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</si>
  <si>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</si>
  <si>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2025.2Q</t>
    <phoneticPr fontId="18" type="noConversion"/>
  </si>
  <si>
    <t>4Q_income</t>
  </si>
  <si>
    <t>목표가</t>
  </si>
  <si>
    <t>상장주식수</t>
  </si>
  <si>
    <t>2020.3Q</t>
    <phoneticPr fontId="18" type="noConversion"/>
  </si>
  <si>
    <t>2020.2Q</t>
    <phoneticPr fontId="18" type="noConversion"/>
  </si>
  <si>
    <t>2020.1Q</t>
    <phoneticPr fontId="18" type="noConversion"/>
  </si>
  <si>
    <t>2025.3Q</t>
    <phoneticPr fontId="18" type="noConversion"/>
  </si>
  <si>
    <t>2025.4Q</t>
    <phoneticPr fontId="18" type="noConversion"/>
  </si>
  <si>
    <t>2026.4Q</t>
    <phoneticPr fontId="18" type="noConversion"/>
  </si>
  <si>
    <t>2026.3Q</t>
    <phoneticPr fontId="18" type="noConversion"/>
  </si>
  <si>
    <t>2026.2Q</t>
    <phoneticPr fontId="18" type="noConversion"/>
  </si>
  <si>
    <t>2026.1Q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</si>
</sst>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3" fontId="14" fillId="0" borderId="0" xfId="0" applyNumberFormat="1" applyFont="1">
      <alignment vertical="center"/>
    </xf>
    <xf numFmtId="41" fontId="0" fillId="0" borderId="0" xfId="42" applyFont="1">
      <alignment vertical="center"/>
    </xf>
    <xf numFmtId="0" fontId="19" fillId="0" borderId="0" xfId="0" applyFont="1">
      <alignment vertical="center"/>
    </xf>
    <xf numFmtId="3" fontId="20" fillId="0" borderId="0" xfId="0" applyNumberFormat="1" applyFont="1">
      <alignment vertical="center"/>
    </xf>
    <xf numFmtId="41" fontId="2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0C4F-4979-4347-A0AE-4803346AD117}">
  <dimension ref="A1:F29"/>
  <sheetViews>
    <sheetView tabSelected="1" workbookViewId="0">
      <selection activeCell="A6" sqref="A6"/>
    </sheetView>
  </sheetViews>
  <sheetFormatPr defaultRowHeight="16.899999999999999"/>
  <cols>
    <col min="2" max="2" width="10.25" bestFit="1" customWidth="1"/>
    <col min="5" max="5" width="12.8125" customWidth="1"/>
    <col min="6" max="6" width="8.875" bestFit="1" customWidth="1"/>
  </cols>
  <sheetData>
    <row r="1" spans="1:6">
      <c r="A1" t="s">
        <v>0</v>
      </c>
      <c r="B1" t="s">
        <v>24</v>
      </c>
      <c r="C1" t="s">
        <v>1</v>
      </c>
      <c r="D1" t="s">
        <v>2</v>
      </c>
      <c r="E1" t="s">
        <v>22</v>
      </c>
      <c r="F1" t="s">
        <v>23</v>
      </c>
    </row>
    <row r="2" spans="1:6">
      <c r="A2" t="s">
        <v>30</v>
      </c>
      <c r="B2" s="1">
        <v>89400000</v>
      </c>
      <c r="C2" s="3">
        <v>1492.7</v>
      </c>
      <c r="D2" s="3">
        <v>1261.4000000000001</v>
      </c>
      <c r="E2" s="4">
        <f>(D2*2+D3*2)</f>
        <v>7246.4000000000005</v>
      </c>
      <c r="F2" s="4">
        <f>E2*100000000/B2*5</f>
        <v>40527.964205816555</v>
      </c>
    </row>
    <row r="3" spans="1:6">
      <c r="A3" t="s">
        <v>31</v>
      </c>
      <c r="B3" s="1">
        <v>89400000</v>
      </c>
      <c r="C3" s="3">
        <v>3319.4</v>
      </c>
      <c r="D3" s="3">
        <v>2361.8000000000002</v>
      </c>
      <c r="E3" s="4">
        <f>(D2*2+D3*2)</f>
        <v>7246.4000000000005</v>
      </c>
      <c r="F3" s="4">
        <f t="shared" ref="F3:F26" si="0">E3*100000000/B3*5</f>
        <v>40527.964205816555</v>
      </c>
    </row>
    <row r="4" spans="1:6">
      <c r="A4" s="5" t="s">
        <v>32</v>
      </c>
      <c r="B4" s="6">
        <v>89400000</v>
      </c>
      <c r="C4" s="6">
        <v>3689.7</v>
      </c>
      <c r="D4" s="6">
        <v>2682.9</v>
      </c>
      <c r="E4" s="7">
        <f>(D2*1+D3*1+D4*2)</f>
        <v>8989</v>
      </c>
      <c r="F4" s="4">
        <f t="shared" si="0"/>
        <v>50274.049217002241</v>
      </c>
    </row>
    <row r="5" spans="1:6">
      <c r="A5" s="5" t="s">
        <v>33</v>
      </c>
      <c r="B5" s="6">
        <v>89400000</v>
      </c>
      <c r="C5" s="6">
        <v>3244.9</v>
      </c>
      <c r="D5" s="6">
        <v>2364.5</v>
      </c>
      <c r="E5" s="7">
        <f t="shared" ref="E5:E26" si="1">(D3*1+D4*1+D5*2)</f>
        <v>9773.7000000000007</v>
      </c>
      <c r="F5" s="4">
        <f t="shared" si="0"/>
        <v>54662.751677852357</v>
      </c>
    </row>
    <row r="6" spans="1:6">
      <c r="A6" s="5" t="s">
        <v>29</v>
      </c>
      <c r="B6" s="6">
        <v>89400000</v>
      </c>
      <c r="C6" s="6">
        <v>-1279</v>
      </c>
      <c r="D6" s="6">
        <v>-1145.2</v>
      </c>
      <c r="E6" s="7">
        <f t="shared" si="1"/>
        <v>2756.9999999999995</v>
      </c>
      <c r="F6" s="4">
        <f t="shared" si="0"/>
        <v>15419.463087248318</v>
      </c>
    </row>
    <row r="7" spans="1:6">
      <c r="A7" s="5" t="s">
        <v>28</v>
      </c>
      <c r="B7" s="6">
        <v>89400000</v>
      </c>
      <c r="C7" s="6">
        <v>7076.8</v>
      </c>
      <c r="D7" s="6">
        <v>6298.2</v>
      </c>
      <c r="E7" s="7">
        <f t="shared" si="1"/>
        <v>13815.699999999999</v>
      </c>
      <c r="F7" s="4">
        <f t="shared" si="0"/>
        <v>77269.015659955257</v>
      </c>
    </row>
    <row r="8" spans="1:6">
      <c r="A8" s="5" t="s">
        <v>21</v>
      </c>
      <c r="B8" s="6">
        <v>89400000</v>
      </c>
      <c r="C8" s="6">
        <v>3975.1</v>
      </c>
      <c r="D8" s="6">
        <v>3006.4</v>
      </c>
      <c r="E8" s="7">
        <f t="shared" si="1"/>
        <v>11165.8</v>
      </c>
      <c r="F8" s="4">
        <f t="shared" si="0"/>
        <v>62448.545861297542</v>
      </c>
    </row>
    <row r="9" spans="1:6">
      <c r="A9" s="5" t="s">
        <v>3</v>
      </c>
      <c r="B9" s="6">
        <v>89400000</v>
      </c>
      <c r="C9" s="6">
        <v>2837</v>
      </c>
      <c r="D9" s="6">
        <v>2039</v>
      </c>
      <c r="E9" s="7">
        <f t="shared" si="1"/>
        <v>13382.6</v>
      </c>
      <c r="F9" s="4">
        <f t="shared" si="0"/>
        <v>74846.756152125279</v>
      </c>
    </row>
    <row r="10" spans="1:6">
      <c r="A10" s="5" t="s">
        <v>4</v>
      </c>
      <c r="B10" s="6">
        <v>89400000</v>
      </c>
      <c r="C10" s="6">
        <v>-750</v>
      </c>
      <c r="D10" s="6">
        <v>-827</v>
      </c>
      <c r="E10" s="7">
        <f t="shared" si="1"/>
        <v>3391.3999999999996</v>
      </c>
      <c r="F10" s="4">
        <f t="shared" si="0"/>
        <v>18967.561521252796</v>
      </c>
    </row>
    <row r="11" spans="1:6">
      <c r="A11" s="5" t="s">
        <v>5</v>
      </c>
      <c r="B11" s="6">
        <v>89400000</v>
      </c>
      <c r="C11" s="6">
        <v>2956</v>
      </c>
      <c r="D11" s="6">
        <v>2123</v>
      </c>
      <c r="E11" s="7">
        <f t="shared" si="1"/>
        <v>5458</v>
      </c>
      <c r="F11" s="4">
        <f t="shared" si="0"/>
        <v>30525.727069351229</v>
      </c>
    </row>
    <row r="12" spans="1:6">
      <c r="A12" s="5" t="s">
        <v>6</v>
      </c>
      <c r="B12" s="6">
        <v>89400000</v>
      </c>
      <c r="C12" s="6">
        <v>4652</v>
      </c>
      <c r="D12" s="6">
        <v>3477</v>
      </c>
      <c r="E12" s="7">
        <f t="shared" si="1"/>
        <v>8250</v>
      </c>
      <c r="F12" s="4">
        <f t="shared" si="0"/>
        <v>46140.939597315439</v>
      </c>
    </row>
    <row r="13" spans="1:6">
      <c r="A13" s="5" t="s">
        <v>7</v>
      </c>
      <c r="B13" s="6">
        <v>89400000</v>
      </c>
      <c r="C13" s="6">
        <v>5582</v>
      </c>
      <c r="D13" s="6">
        <v>3733</v>
      </c>
      <c r="E13" s="7">
        <f t="shared" si="1"/>
        <v>13066</v>
      </c>
      <c r="F13" s="4">
        <f t="shared" si="0"/>
        <v>73076.06263982103</v>
      </c>
    </row>
    <row r="14" spans="1:6">
      <c r="A14" s="5" t="s">
        <v>8</v>
      </c>
      <c r="B14" s="6">
        <v>89400000</v>
      </c>
      <c r="C14" s="6">
        <v>-1178</v>
      </c>
      <c r="D14" s="6">
        <v>-548</v>
      </c>
      <c r="E14" s="7">
        <f t="shared" si="1"/>
        <v>6114</v>
      </c>
      <c r="F14" s="4">
        <f t="shared" si="0"/>
        <v>34194.63087248322</v>
      </c>
    </row>
    <row r="15" spans="1:6">
      <c r="A15" s="5" t="s">
        <v>9</v>
      </c>
      <c r="B15" s="6">
        <v>89400000</v>
      </c>
      <c r="C15" s="6">
        <v>3591</v>
      </c>
      <c r="D15" s="6">
        <v>2612</v>
      </c>
      <c r="E15" s="7">
        <f t="shared" si="1"/>
        <v>8409</v>
      </c>
      <c r="F15" s="4">
        <f t="shared" si="0"/>
        <v>47030.201342281878</v>
      </c>
    </row>
    <row r="16" spans="1:6">
      <c r="A16" s="5" t="s">
        <v>10</v>
      </c>
      <c r="B16" s="6">
        <v>89400000</v>
      </c>
      <c r="C16" s="6">
        <v>2609</v>
      </c>
      <c r="D16" s="6">
        <v>1879</v>
      </c>
      <c r="E16" s="7">
        <f t="shared" si="1"/>
        <v>5822</v>
      </c>
      <c r="F16" s="4">
        <f t="shared" si="0"/>
        <v>32561.521252796418</v>
      </c>
    </row>
    <row r="17" spans="1:6">
      <c r="A17" s="5" t="s">
        <v>11</v>
      </c>
      <c r="B17" s="6">
        <v>89400000</v>
      </c>
      <c r="C17" s="6">
        <v>2861</v>
      </c>
      <c r="D17" s="6">
        <v>2136</v>
      </c>
      <c r="E17" s="7">
        <f t="shared" si="1"/>
        <v>8763</v>
      </c>
      <c r="F17" s="4">
        <f t="shared" si="0"/>
        <v>49010.067114093967</v>
      </c>
    </row>
    <row r="18" spans="1:6">
      <c r="A18" s="5" t="s">
        <v>12</v>
      </c>
      <c r="B18" s="6">
        <v>89400000</v>
      </c>
      <c r="C18" s="5">
        <v>992</v>
      </c>
      <c r="D18" s="6">
        <v>722</v>
      </c>
      <c r="E18" s="7">
        <f t="shared" si="1"/>
        <v>5459</v>
      </c>
      <c r="F18" s="4">
        <f t="shared" si="0"/>
        <v>30531.31991051454</v>
      </c>
    </row>
    <row r="19" spans="1:6">
      <c r="A19" s="5" t="s">
        <v>13</v>
      </c>
      <c r="B19" s="6">
        <v>89400000</v>
      </c>
      <c r="C19" s="6">
        <v>1930</v>
      </c>
      <c r="D19" s="6">
        <v>1340</v>
      </c>
      <c r="E19" s="7">
        <f t="shared" si="1"/>
        <v>5538</v>
      </c>
      <c r="F19" s="4">
        <f t="shared" si="0"/>
        <v>30973.154362416106</v>
      </c>
    </row>
    <row r="20" spans="1:6">
      <c r="A20" s="5" t="s">
        <v>14</v>
      </c>
      <c r="B20" s="6">
        <v>89400000</v>
      </c>
      <c r="C20" s="6">
        <v>2903</v>
      </c>
      <c r="D20" s="6">
        <v>2140</v>
      </c>
      <c r="E20" s="7">
        <f t="shared" si="1"/>
        <v>6342</v>
      </c>
      <c r="F20" s="4">
        <f t="shared" si="0"/>
        <v>35469.798657718122</v>
      </c>
    </row>
    <row r="21" spans="1:6">
      <c r="A21" s="5" t="s">
        <v>15</v>
      </c>
      <c r="B21" s="6">
        <v>89400000</v>
      </c>
      <c r="C21" s="6">
        <v>2255</v>
      </c>
      <c r="D21" s="6">
        <v>1544</v>
      </c>
      <c r="E21" s="7">
        <f t="shared" si="1"/>
        <v>6568</v>
      </c>
      <c r="F21" s="4">
        <f t="shared" si="0"/>
        <v>36733.780760626403</v>
      </c>
    </row>
    <row r="22" spans="1:6">
      <c r="A22" s="5" t="s">
        <v>16</v>
      </c>
      <c r="B22" s="6">
        <v>89400000</v>
      </c>
      <c r="C22" s="6">
        <v>679</v>
      </c>
      <c r="D22" s="6">
        <v>419</v>
      </c>
      <c r="E22" s="7">
        <f t="shared" si="1"/>
        <v>4522</v>
      </c>
      <c r="F22" s="4">
        <f t="shared" si="0"/>
        <v>25290.827740492168</v>
      </c>
    </row>
    <row r="23" spans="1:6">
      <c r="A23" s="5" t="s">
        <v>17</v>
      </c>
      <c r="B23" s="6">
        <v>89400000</v>
      </c>
      <c r="C23" s="6">
        <v>1986</v>
      </c>
      <c r="D23" s="6">
        <v>1366</v>
      </c>
      <c r="E23" s="7">
        <f t="shared" si="1"/>
        <v>4695</v>
      </c>
      <c r="F23" s="4">
        <f t="shared" si="0"/>
        <v>26258.389261744964</v>
      </c>
    </row>
    <row r="24" spans="1:6">
      <c r="A24" s="5" t="s">
        <v>18</v>
      </c>
      <c r="B24" s="6">
        <v>89400000</v>
      </c>
      <c r="C24" s="6">
        <v>1848</v>
      </c>
      <c r="D24" s="6">
        <v>1265</v>
      </c>
      <c r="E24" s="7">
        <f t="shared" si="1"/>
        <v>4315</v>
      </c>
      <c r="F24" s="4">
        <f t="shared" si="0"/>
        <v>24133.109619686802</v>
      </c>
    </row>
    <row r="25" spans="1:6">
      <c r="A25" s="5" t="s">
        <v>19</v>
      </c>
      <c r="B25" s="6">
        <v>89400000</v>
      </c>
      <c r="C25" s="6">
        <v>1880</v>
      </c>
      <c r="D25" s="6">
        <v>1276</v>
      </c>
      <c r="E25" s="7">
        <f t="shared" si="1"/>
        <v>5183</v>
      </c>
      <c r="F25" s="4">
        <f t="shared" si="0"/>
        <v>28987.695749440718</v>
      </c>
    </row>
    <row r="26" spans="1:6">
      <c r="A26" t="s">
        <v>20</v>
      </c>
      <c r="B26" s="1">
        <v>89400000</v>
      </c>
      <c r="C26">
        <v>113</v>
      </c>
      <c r="D26">
        <v>-80</v>
      </c>
      <c r="E26" s="7">
        <f t="shared" si="1"/>
        <v>2381</v>
      </c>
      <c r="F26" s="4">
        <f t="shared" si="0"/>
        <v>13316.554809843401</v>
      </c>
    </row>
    <row r="27" spans="1:6">
      <c r="A27" t="s">
        <v>25</v>
      </c>
      <c r="B27" s="1">
        <v>89400000</v>
      </c>
      <c r="C27" s="1">
        <v>57</v>
      </c>
      <c r="D27" s="1">
        <v>1400</v>
      </c>
      <c r="F27" s="2"/>
    </row>
    <row r="28" spans="1:6">
      <c r="A28" t="s">
        <v>26</v>
      </c>
      <c r="B28" s="1">
        <v>89400000</v>
      </c>
      <c r="C28" s="1">
        <v>1408</v>
      </c>
      <c r="D28" s="1">
        <v>1102</v>
      </c>
      <c r="F28" s="2"/>
    </row>
    <row r="29" spans="1:6">
      <c r="A29" t="s">
        <v>27</v>
      </c>
      <c r="B29" s="1">
        <v>89400000</v>
      </c>
      <c r="C29" s="1">
        <v>1290</v>
      </c>
      <c r="D29">
        <v>895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현대해상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2025-01-31T15:13:54Z</dcterms:created>
  <dcterms:modified xsi:type="dcterms:W3CDTF">2026-08-26T23:54:31Z</dcterms:modified>
</cp:coreProperties>
</file>