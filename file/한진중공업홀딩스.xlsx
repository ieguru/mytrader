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8F252BE8-585E-4197-AB40-11CD4DAA1D72}" xr6:coauthVersionLast="47" xr6:coauthVersionMax="47" xr10:uidLastSave="{00000000-0000-0000-0000-000000000000}"/>
  <bookViews>
    <workbookView xWindow="7030" yWindow="3080" windowWidth="27190" windowHeight="18890" xr2:uid="{574589F6-5CF4-430A-9C77-3C46C2002903}"/>
  </bookViews>
  <sheets>
    <sheet name="한진중공업홀딩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F12" i="1" s="1"/>
  <c r="E13" i="1"/>
  <c r="F13" i="1" s="1"/>
  <c r="E14" i="1"/>
  <c r="F14" i="1" s="1"/>
  <c r="E15" i="1"/>
  <c r="F15" i="1" s="1"/>
  <c r="E16" i="1"/>
  <c r="F16" i="1" s="1"/>
  <c r="E17" i="1"/>
  <c r="E18" i="1"/>
  <c r="E19" i="1"/>
  <c r="E20" i="1"/>
  <c r="E21" i="1"/>
  <c r="E22" i="1"/>
  <c r="E23" i="1"/>
  <c r="E4" i="1"/>
  <c r="F4" i="1" s="1"/>
  <c r="F2" i="1"/>
  <c r="F5" i="1"/>
  <c r="F6" i="1"/>
  <c r="F7" i="1"/>
  <c r="F8" i="1"/>
  <c r="F9" i="1"/>
  <c r="F10" i="1"/>
  <c r="F11" i="1"/>
  <c r="F17" i="1"/>
  <c r="F18" i="1"/>
  <c r="F19" i="1"/>
  <c r="F20" i="1"/>
  <c r="F21" i="1"/>
  <c r="F22" i="1"/>
  <c r="F3" i="1"/>
  <c r="E3" i="1"/>
  <c r="E2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<sst xmlns="http://schemas.openxmlformats.org/spreadsheetml/2006/main" count="30" uniqueCount="30">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</sst>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20" fillId="33" borderId="0" xfId="0" applyFont="1" applyFill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5"/>
  <sheetViews>
    <sheetView tabSelected="1" workbookViewId="0">
      <selection activeCell="E3" sqref="E3"/>
    </sheetView>
  </sheetViews>
  <sheetFormatPr defaultRowHeight="17"/>
  <cols>
    <col min="2" max="2" width="10.25" bestFit="1" customWidth="1"/>
    <col min="5" max="5" width="12.83203125" customWidth="1"/>
    <col min="6" max="6" width="9.08203125" bestFit="1" customWidth="1"/>
  </cols>
  <sheetData>
    <row r="1" spans="1: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>
      <c r="A2" t="s">
        <v>29</v>
      </c>
      <c r="B2" s="1">
        <v>29529812</v>
      </c>
      <c r="C2" s="1">
        <v>138</v>
      </c>
      <c r="D2" s="6">
        <v>285</v>
      </c>
      <c r="E2">
        <f>(C2*2+C3*2)</f>
        <v>474</v>
      </c>
      <c r="F2" s="7">
        <f>E2*100000000/B2*5</f>
        <v>8025.7876345436944</v>
      </c>
    </row>
    <row r="3" spans="1:6">
      <c r="A3" t="s">
        <v>28</v>
      </c>
      <c r="B3" s="1">
        <v>29529812</v>
      </c>
      <c r="C3" s="1">
        <v>99</v>
      </c>
      <c r="D3" s="5">
        <v>342</v>
      </c>
      <c r="E3">
        <f>(C2*2+C3*2)</f>
        <v>474</v>
      </c>
      <c r="F3" s="7">
        <f>E3*100000000/B3*5</f>
        <v>8025.7876345436944</v>
      </c>
    </row>
    <row r="4" spans="1:6">
      <c r="A4" t="s">
        <v>21</v>
      </c>
      <c r="B4" s="1">
        <v>29529812</v>
      </c>
      <c r="C4" s="1">
        <v>28</v>
      </c>
      <c r="D4" s="4">
        <v>296</v>
      </c>
      <c r="E4">
        <f>(C3*2+C4+C2)</f>
        <v>364</v>
      </c>
      <c r="F4" s="7">
        <f t="shared" ref="F4:F22" si="0">E4*100000000/B4*5</f>
        <v>6163.263078004019</v>
      </c>
    </row>
    <row r="5" spans="1:6">
      <c r="A5" t="s">
        <v>3</v>
      </c>
      <c r="B5" s="1">
        <v>29529812</v>
      </c>
      <c r="C5" s="3">
        <v>384</v>
      </c>
      <c r="D5" s="3">
        <v>693</v>
      </c>
      <c r="E5">
        <f t="shared" ref="E5:E23" si="1">(C4*2+C5+C3)</f>
        <v>539</v>
      </c>
      <c r="F5" s="7">
        <f t="shared" si="0"/>
        <v>9126.3703270444112</v>
      </c>
    </row>
    <row r="6" spans="1:6">
      <c r="A6" t="s">
        <v>4</v>
      </c>
      <c r="B6" s="1">
        <v>29529812</v>
      </c>
      <c r="C6" s="1">
        <v>138</v>
      </c>
      <c r="D6" s="1">
        <v>254</v>
      </c>
      <c r="E6">
        <f t="shared" si="1"/>
        <v>934</v>
      </c>
      <c r="F6" s="7">
        <f t="shared" si="0"/>
        <v>15814.526689164157</v>
      </c>
    </row>
    <row r="7" spans="1:6">
      <c r="A7" t="s">
        <v>5</v>
      </c>
      <c r="B7" s="1">
        <v>29529812</v>
      </c>
      <c r="C7" s="1">
        <v>99</v>
      </c>
      <c r="D7" s="1">
        <v>388</v>
      </c>
      <c r="E7">
        <f t="shared" si="1"/>
        <v>759</v>
      </c>
      <c r="F7" s="7">
        <f t="shared" si="0"/>
        <v>12851.419440123764</v>
      </c>
    </row>
    <row r="8" spans="1:6">
      <c r="A8" t="s">
        <v>6</v>
      </c>
      <c r="B8" s="1">
        <v>29529812</v>
      </c>
      <c r="C8" s="1">
        <v>28</v>
      </c>
      <c r="D8" s="1">
        <v>13</v>
      </c>
      <c r="E8">
        <f t="shared" si="1"/>
        <v>364</v>
      </c>
      <c r="F8" s="7">
        <f t="shared" si="0"/>
        <v>6163.263078004019</v>
      </c>
    </row>
    <row r="9" spans="1:6">
      <c r="A9" t="s">
        <v>7</v>
      </c>
      <c r="B9" s="1">
        <v>29529812</v>
      </c>
      <c r="C9" s="1">
        <v>194</v>
      </c>
      <c r="D9" s="1">
        <v>315</v>
      </c>
      <c r="E9">
        <f t="shared" si="1"/>
        <v>349</v>
      </c>
      <c r="F9" s="7">
        <f t="shared" si="0"/>
        <v>5909.2824566576983</v>
      </c>
    </row>
    <row r="10" spans="1:6">
      <c r="A10" t="s">
        <v>8</v>
      </c>
      <c r="B10" s="1">
        <v>29529812</v>
      </c>
      <c r="C10" s="1">
        <v>194</v>
      </c>
      <c r="D10" s="1">
        <v>22</v>
      </c>
      <c r="E10">
        <f t="shared" si="1"/>
        <v>610</v>
      </c>
      <c r="F10" s="7">
        <f t="shared" si="0"/>
        <v>10328.545268083657</v>
      </c>
    </row>
    <row r="11" spans="1:6">
      <c r="A11" t="s">
        <v>9</v>
      </c>
      <c r="B11" s="1">
        <v>29529812</v>
      </c>
      <c r="C11" s="1">
        <v>34</v>
      </c>
      <c r="D11">
        <v>347</v>
      </c>
      <c r="E11">
        <f t="shared" si="1"/>
        <v>616</v>
      </c>
      <c r="F11" s="7">
        <f t="shared" si="0"/>
        <v>10430.137516622184</v>
      </c>
    </row>
    <row r="12" spans="1:6">
      <c r="A12" t="s">
        <v>10</v>
      </c>
      <c r="B12" s="1">
        <v>29529812</v>
      </c>
      <c r="C12">
        <v>37</v>
      </c>
      <c r="D12" s="1">
        <v>254</v>
      </c>
      <c r="E12">
        <f t="shared" si="1"/>
        <v>299</v>
      </c>
      <c r="F12" s="7">
        <f t="shared" si="0"/>
        <v>5062.6803855033004</v>
      </c>
    </row>
    <row r="13" spans="1:6">
      <c r="A13" t="s">
        <v>11</v>
      </c>
      <c r="B13" s="1">
        <v>29529812</v>
      </c>
      <c r="C13">
        <v>128</v>
      </c>
      <c r="D13">
        <v>427</v>
      </c>
      <c r="E13">
        <f t="shared" si="1"/>
        <v>236</v>
      </c>
      <c r="F13" s="7">
        <f t="shared" si="0"/>
        <v>3995.9617758487593</v>
      </c>
    </row>
    <row r="14" spans="1:6">
      <c r="A14" t="s">
        <v>12</v>
      </c>
      <c r="B14" s="1">
        <v>29529812</v>
      </c>
      <c r="C14">
        <v>38</v>
      </c>
      <c r="D14" s="1">
        <v>130</v>
      </c>
      <c r="E14">
        <f t="shared" si="1"/>
        <v>331</v>
      </c>
      <c r="F14" s="7">
        <f t="shared" si="0"/>
        <v>5604.5057110421158</v>
      </c>
    </row>
    <row r="15" spans="1:6">
      <c r="A15" t="s">
        <v>13</v>
      </c>
      <c r="B15" s="1">
        <v>29529812</v>
      </c>
      <c r="C15" s="1">
        <v>61</v>
      </c>
      <c r="D15" s="1">
        <v>225</v>
      </c>
      <c r="E15">
        <f t="shared" si="1"/>
        <v>265</v>
      </c>
      <c r="F15" s="7">
        <f t="shared" si="0"/>
        <v>4486.9909771183102</v>
      </c>
    </row>
    <row r="16" spans="1:6">
      <c r="A16" t="s">
        <v>14</v>
      </c>
      <c r="B16" s="1">
        <v>29529812</v>
      </c>
      <c r="C16" s="1">
        <v>62</v>
      </c>
      <c r="D16" s="1">
        <v>152</v>
      </c>
      <c r="E16">
        <f t="shared" si="1"/>
        <v>222</v>
      </c>
      <c r="F16" s="7">
        <f t="shared" si="0"/>
        <v>3758.9131959255274</v>
      </c>
    </row>
    <row r="17" spans="1:6">
      <c r="A17" t="s">
        <v>15</v>
      </c>
      <c r="B17" s="1">
        <v>29529812</v>
      </c>
      <c r="C17" s="1">
        <v>210</v>
      </c>
      <c r="D17" s="1">
        <v>167</v>
      </c>
      <c r="E17">
        <f t="shared" si="1"/>
        <v>395</v>
      </c>
      <c r="F17" s="7">
        <f t="shared" si="0"/>
        <v>6688.1563621197447</v>
      </c>
    </row>
    <row r="18" spans="1:6">
      <c r="A18" t="s">
        <v>16</v>
      </c>
      <c r="B18" s="1">
        <v>29529812</v>
      </c>
      <c r="C18" s="1">
        <v>118</v>
      </c>
      <c r="D18" s="1">
        <v>340</v>
      </c>
      <c r="E18">
        <f t="shared" si="1"/>
        <v>600</v>
      </c>
      <c r="F18" s="7">
        <f t="shared" si="0"/>
        <v>10159.224853852778</v>
      </c>
    </row>
    <row r="19" spans="1:6">
      <c r="A19" t="s">
        <v>17</v>
      </c>
      <c r="B19" s="1">
        <v>29529812</v>
      </c>
      <c r="C19" s="1">
        <v>28</v>
      </c>
      <c r="D19" s="1">
        <v>166</v>
      </c>
      <c r="E19">
        <f t="shared" si="1"/>
        <v>474</v>
      </c>
      <c r="F19" s="7">
        <f t="shared" si="0"/>
        <v>8025.7876345436944</v>
      </c>
    </row>
    <row r="20" spans="1:6">
      <c r="A20" t="s">
        <v>18</v>
      </c>
      <c r="B20" s="1">
        <v>29529812</v>
      </c>
      <c r="C20" s="1">
        <v>-34</v>
      </c>
      <c r="D20" s="1">
        <v>48</v>
      </c>
      <c r="E20">
        <f t="shared" si="1"/>
        <v>140</v>
      </c>
      <c r="F20" s="7">
        <f t="shared" si="0"/>
        <v>2370.4857992323145</v>
      </c>
    </row>
    <row r="21" spans="1:6">
      <c r="A21" t="s">
        <v>19</v>
      </c>
      <c r="B21" s="1">
        <v>29529812</v>
      </c>
      <c r="C21" s="1">
        <v>334</v>
      </c>
      <c r="D21" s="1">
        <v>120</v>
      </c>
      <c r="E21">
        <f t="shared" si="1"/>
        <v>294</v>
      </c>
      <c r="F21" s="7">
        <f t="shared" si="0"/>
        <v>4978.0201783878611</v>
      </c>
    </row>
    <row r="22" spans="1:6">
      <c r="A22" t="s">
        <v>20</v>
      </c>
      <c r="B22" s="1">
        <v>29529812</v>
      </c>
      <c r="C22">
        <v>140</v>
      </c>
      <c r="D22">
        <v>59</v>
      </c>
      <c r="E22">
        <f t="shared" si="1"/>
        <v>774</v>
      </c>
      <c r="F22" s="7">
        <f t="shared" si="0"/>
        <v>13105.400061470084</v>
      </c>
    </row>
    <row r="23" spans="1:6">
      <c r="A23" t="s">
        <v>25</v>
      </c>
      <c r="B23" s="1">
        <v>29529812</v>
      </c>
      <c r="C23" s="1">
        <v>47</v>
      </c>
      <c r="D23" s="1">
        <v>77</v>
      </c>
      <c r="E23">
        <f t="shared" si="1"/>
        <v>661</v>
      </c>
      <c r="F23" s="2"/>
    </row>
    <row r="24" spans="1:6">
      <c r="A24" t="s">
        <v>26</v>
      </c>
      <c r="B24" s="1">
        <v>29529812</v>
      </c>
      <c r="C24">
        <v>73</v>
      </c>
      <c r="D24">
        <v>47</v>
      </c>
      <c r="F24" s="2"/>
    </row>
    <row r="25" spans="1:6">
      <c r="A25" t="s">
        <v>27</v>
      </c>
      <c r="B25" s="1">
        <v>29529812</v>
      </c>
      <c r="C25">
        <v>244</v>
      </c>
      <c r="D25">
        <v>113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한진중공업홀딩스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2025-07-17T00:29:59Z</dcterms:modified>
</cp:coreProperties>
</file>