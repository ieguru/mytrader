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7A76185-2B98-407D-A39D-02B08FCEE689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S-O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5" i="1"/>
  <c r="F5" i="1" s="1"/>
  <c r="E6" i="1"/>
  <c r="E7" i="1"/>
  <c r="E8" i="1"/>
  <c r="E9" i="1"/>
  <c r="E10" i="1"/>
  <c r="E11" i="1"/>
  <c r="E12" i="1"/>
  <c r="F12" i="1" s="1"/>
  <c r="E13" i="1"/>
  <c r="E14" i="1"/>
  <c r="E15" i="1"/>
  <c r="E16" i="1"/>
  <c r="F16" i="1" s="1"/>
  <c r="E17" i="1"/>
  <c r="F17" i="1" s="1"/>
  <c r="E18" i="1"/>
  <c r="F18" i="1" s="1"/>
  <c r="E19" i="1"/>
  <c r="F19" i="1" s="1"/>
  <c r="E20" i="1"/>
  <c r="E21" i="1"/>
  <c r="E22" i="1"/>
  <c r="F22" i="1" s="1"/>
  <c r="E23" i="1"/>
  <c r="E24" i="1"/>
  <c r="E25" i="1"/>
  <c r="E26" i="1"/>
  <c r="E27" i="1"/>
  <c r="E28" i="1"/>
  <c r="E4" i="1"/>
  <c r="F4" i="1" s="1"/>
  <c r="E3" i="1"/>
  <c r="F3" i="1" s="1"/>
  <c r="E2" i="1"/>
  <c r="F7" i="1"/>
  <c r="F27" i="1"/>
  <c r="F26" i="1"/>
  <c r="F25" i="1"/>
  <c r="F24" i="1"/>
  <c r="F23" i="1"/>
  <c r="F11" i="1"/>
  <c r="F10" i="1"/>
  <c r="F9" i="1"/>
  <c r="F8" i="1"/>
  <c r="F6" i="1"/>
  <c r="F13" i="1"/>
  <c r="F14" i="1"/>
  <c r="F15" i="1"/>
  <c r="F20" i="1"/>
  <c r="F21" i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<sst xmlns="http://schemas.openxmlformats.org/spreadsheetml/2006/main" count="35" uniqueCount="35">
  <si>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</si>
  <si>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</si>
  <si>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</si>
  <si>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</si>
  <si>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</si>
  <si>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</si>
  <si>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</si>
  <si>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</si>
  <si>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</si>
  <si>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</si>
  <si>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</si>
  <si>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</si>
  <si>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</si>
  <si>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</si>
  <si>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</si>
  <si>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</si>
  <si>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</si>
  <si>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</si>
  <si>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</si>
  <si>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</si>
  <si>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</si>
  <si>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</si>
  <si>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</si>
  <si>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</si>
  <si>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</si>
  <si>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</si>
  <si>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</si>
  <si>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</si>
  <si>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</si>
  <si>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</si>
  <si>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</si>
  <si>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</si>
  <si>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2027.1Q</t>
    <phoneticPr fontId="18" type="noConversion"/>
  </si>
  <si>
    <t>2026.4Q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</si>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</sst>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176" fontId="0" fillId="0" borderId="0" xfId="42" applyNumberFormat="1" applyFont="1">
      <alignment vertical="center"/>
    </xf>
    <xf numFmtId="176" fontId="14" fillId="33" borderId="0" xfId="0" applyNumberFormat="1" applyFont="1" applyFill="1">
      <alignment vertical="center"/>
    </xf>
    <xf numFmtId="176" fontId="1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30"/>
  <sheetViews>
    <sheetView tabSelected="1" workbookViewId="0">
      <selection activeCell="F3" sqref="F3"/>
    </sheetView>
  </sheetViews>
  <sheetFormatPr defaultRowHeight="16.899999999999999" x14ac:dyDescent="0.6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32</v>
      </c>
      <c r="B2" s="1">
        <v>112582792</v>
      </c>
      <c r="C2" s="4">
        <v>12405.7</v>
      </c>
      <c r="D2" s="2">
        <v>3466</v>
      </c>
      <c r="E2" s="3">
        <f>(D2*2+D3*2)</f>
        <v>27726.2</v>
      </c>
      <c r="F2" s="3">
        <f>E2*100000000/B2*10</f>
        <v>246273.87105482336</v>
      </c>
    </row>
    <row r="3" spans="1:6" x14ac:dyDescent="0.6">
      <c r="A3" t="s">
        <v>33</v>
      </c>
      <c r="B3" s="1">
        <v>112582792</v>
      </c>
      <c r="C3" s="4">
        <v>12109.5</v>
      </c>
      <c r="D3" s="2">
        <v>10397.1</v>
      </c>
      <c r="E3" s="3">
        <f>(D2*2+D3*2)</f>
        <v>27726.2</v>
      </c>
      <c r="F3" s="3">
        <f>E3*100000000/B3*10</f>
        <v>246273.87105482336</v>
      </c>
    </row>
    <row r="4" spans="1:6" x14ac:dyDescent="0.6">
      <c r="A4" t="s">
        <v>34</v>
      </c>
      <c r="B4" s="1">
        <v>112582792</v>
      </c>
      <c r="C4" s="4">
        <v>11767.8</v>
      </c>
      <c r="D4" s="2">
        <v>8339.9</v>
      </c>
      <c r="E4" s="3">
        <f>D3+D4*2+D2</f>
        <v>30542.9</v>
      </c>
      <c r="F4" s="3">
        <f>E4*100000000/B4*10</f>
        <v>271292.79224128672</v>
      </c>
    </row>
    <row r="5" spans="1:6" x14ac:dyDescent="0.6">
      <c r="A5" t="s">
        <v>31</v>
      </c>
      <c r="B5" s="1">
        <v>112582792</v>
      </c>
      <c r="C5" s="4">
        <v>9650.2000000000007</v>
      </c>
      <c r="D5" s="2">
        <v>5145.8</v>
      </c>
      <c r="E5" s="3">
        <f t="shared" ref="E5:E28" si="0">D4+D5*2+D3</f>
        <v>29028.6</v>
      </c>
      <c r="F5" s="3">
        <f>E5*100000000/B5*10</f>
        <v>257842.24644206726</v>
      </c>
    </row>
    <row r="6" spans="1:6" x14ac:dyDescent="0.6">
      <c r="A6" t="s">
        <v>30</v>
      </c>
      <c r="B6" s="1">
        <v>112582792</v>
      </c>
      <c r="C6" s="4">
        <v>12310.8</v>
      </c>
      <c r="D6" s="4">
        <v>7209.9</v>
      </c>
      <c r="E6" s="3">
        <f t="shared" si="0"/>
        <v>27905.5</v>
      </c>
      <c r="F6" s="3">
        <f>E6*100000000/B6*10</f>
        <v>247866.47678803347</v>
      </c>
    </row>
    <row r="7" spans="1:6" x14ac:dyDescent="0.6">
      <c r="A7" t="s">
        <v>29</v>
      </c>
      <c r="B7" s="1">
        <v>112582792</v>
      </c>
      <c r="C7" s="4">
        <v>3719.3</v>
      </c>
      <c r="D7" s="4">
        <v>2250.9</v>
      </c>
      <c r="E7" s="3">
        <f t="shared" si="0"/>
        <v>16857.5</v>
      </c>
      <c r="F7" s="3">
        <f>E7*100000000/B7*10</f>
        <v>149734.25068371018</v>
      </c>
    </row>
    <row r="8" spans="1:6" x14ac:dyDescent="0.6">
      <c r="A8" t="s">
        <v>28</v>
      </c>
      <c r="B8" s="1">
        <v>112582792</v>
      </c>
      <c r="C8" s="4">
        <v>2292</v>
      </c>
      <c r="D8" s="4">
        <v>632</v>
      </c>
      <c r="E8" s="3">
        <f t="shared" si="0"/>
        <v>10724.8</v>
      </c>
      <c r="F8" s="3">
        <f t="shared" ref="F8:F27" si="1">E8*100000000/B8*10</f>
        <v>95261.449902574808</v>
      </c>
    </row>
    <row r="9" spans="1:6" x14ac:dyDescent="0.6">
      <c r="A9" t="s">
        <v>21</v>
      </c>
      <c r="B9" s="1">
        <v>112582792</v>
      </c>
      <c r="C9" s="5">
        <v>-3440</v>
      </c>
      <c r="D9" s="5">
        <v>-668</v>
      </c>
      <c r="E9" s="3">
        <f t="shared" si="0"/>
        <v>1546.9</v>
      </c>
      <c r="F9" s="3">
        <f t="shared" si="1"/>
        <v>13740.110477984948</v>
      </c>
    </row>
    <row r="10" spans="1:6" x14ac:dyDescent="0.6">
      <c r="A10" t="s">
        <v>3</v>
      </c>
      <c r="B10" s="1">
        <v>112582792</v>
      </c>
      <c r="C10" s="5">
        <v>-215</v>
      </c>
      <c r="D10" s="5">
        <v>-446</v>
      </c>
      <c r="E10" s="3">
        <f t="shared" si="0"/>
        <v>-928</v>
      </c>
      <c r="F10" s="3">
        <f t="shared" si="1"/>
        <v>-8242.8227574956563</v>
      </c>
    </row>
    <row r="11" spans="1:6" x14ac:dyDescent="0.6">
      <c r="A11" t="s">
        <v>4</v>
      </c>
      <c r="B11" s="1">
        <v>112582792</v>
      </c>
      <c r="C11" s="1">
        <v>2224</v>
      </c>
      <c r="D11" s="1">
        <v>-1317</v>
      </c>
      <c r="E11" s="3">
        <f t="shared" si="0"/>
        <v>-3748</v>
      </c>
      <c r="F11" s="3">
        <f t="shared" si="1"/>
        <v>-33291.055705919964</v>
      </c>
    </row>
    <row r="12" spans="1:6" x14ac:dyDescent="0.6">
      <c r="A12" t="s">
        <v>5</v>
      </c>
      <c r="B12" s="1">
        <v>112582792</v>
      </c>
      <c r="C12" s="1">
        <v>-4149</v>
      </c>
      <c r="D12" s="1">
        <v>-2062</v>
      </c>
      <c r="E12" s="3">
        <f t="shared" si="0"/>
        <v>-5887</v>
      </c>
      <c r="F12" s="3">
        <f t="shared" si="1"/>
        <v>-52290.406867863072</v>
      </c>
    </row>
    <row r="13" spans="1:6" x14ac:dyDescent="0.6">
      <c r="A13" t="s">
        <v>6</v>
      </c>
      <c r="B13" s="1">
        <v>112582792</v>
      </c>
      <c r="C13" s="1">
        <v>1606</v>
      </c>
      <c r="D13" s="1">
        <v>-213</v>
      </c>
      <c r="E13" s="3">
        <f t="shared" si="0"/>
        <v>-3805</v>
      </c>
      <c r="F13" s="3">
        <f t="shared" si="1"/>
        <v>-33797.349776154071</v>
      </c>
    </row>
    <row r="14" spans="1:6" x14ac:dyDescent="0.6">
      <c r="A14" t="s">
        <v>7</v>
      </c>
      <c r="B14" s="1">
        <v>112582792</v>
      </c>
      <c r="C14" s="1">
        <v>4541</v>
      </c>
      <c r="D14" s="1">
        <v>1662</v>
      </c>
      <c r="E14" s="3">
        <f t="shared" si="0"/>
        <v>1049</v>
      </c>
      <c r="F14" s="3">
        <f t="shared" si="1"/>
        <v>9317.5873627294659</v>
      </c>
    </row>
    <row r="15" spans="1:6" x14ac:dyDescent="0.6">
      <c r="A15" t="s">
        <v>8</v>
      </c>
      <c r="B15" s="1">
        <v>112582792</v>
      </c>
      <c r="C15" s="1">
        <v>-564</v>
      </c>
      <c r="D15" s="1">
        <v>1605</v>
      </c>
      <c r="E15" s="3">
        <f t="shared" si="0"/>
        <v>4659</v>
      </c>
      <c r="F15" s="3">
        <f t="shared" si="1"/>
        <v>41382.878477556325</v>
      </c>
    </row>
    <row r="16" spans="1:6" x14ac:dyDescent="0.6">
      <c r="A16" t="s">
        <v>9</v>
      </c>
      <c r="B16" s="1">
        <v>112582792</v>
      </c>
      <c r="C16" s="1">
        <v>8589</v>
      </c>
      <c r="D16" s="1">
        <v>5454</v>
      </c>
      <c r="E16" s="3">
        <f t="shared" si="0"/>
        <v>14175</v>
      </c>
      <c r="F16" s="3">
        <f t="shared" si="1"/>
        <v>125907.34115032428</v>
      </c>
    </row>
    <row r="17" spans="1:6" x14ac:dyDescent="0.6">
      <c r="A17" t="s">
        <v>10</v>
      </c>
      <c r="B17" s="1">
        <v>112582792</v>
      </c>
      <c r="C17" s="1">
        <v>364</v>
      </c>
      <c r="D17" s="1">
        <v>-224</v>
      </c>
      <c r="E17" s="3">
        <f t="shared" si="0"/>
        <v>6611</v>
      </c>
      <c r="F17" s="3">
        <f t="shared" si="1"/>
        <v>58721.229795047184</v>
      </c>
    </row>
    <row r="18" spans="1:6" x14ac:dyDescent="0.6">
      <c r="A18" t="s">
        <v>11</v>
      </c>
      <c r="B18" s="1">
        <v>112582792</v>
      </c>
      <c r="C18" s="1">
        <v>5157</v>
      </c>
      <c r="D18" s="1">
        <v>2653</v>
      </c>
      <c r="E18" s="3">
        <f t="shared" si="0"/>
        <v>10536</v>
      </c>
      <c r="F18" s="3">
        <f t="shared" si="1"/>
        <v>93584.461824325699</v>
      </c>
    </row>
    <row r="19" spans="1:6" x14ac:dyDescent="0.6">
      <c r="A19" t="s">
        <v>12</v>
      </c>
      <c r="B19" s="1">
        <v>112582792</v>
      </c>
      <c r="C19" s="1">
        <v>-1604</v>
      </c>
      <c r="D19" s="1">
        <v>2289</v>
      </c>
      <c r="E19" s="3">
        <f t="shared" si="0"/>
        <v>7007</v>
      </c>
      <c r="F19" s="3">
        <f t="shared" si="1"/>
        <v>62238.641230357833</v>
      </c>
    </row>
    <row r="20" spans="1:6" x14ac:dyDescent="0.6">
      <c r="A20" t="s">
        <v>13</v>
      </c>
      <c r="B20" s="1">
        <v>112582792</v>
      </c>
      <c r="C20" s="1">
        <v>5117</v>
      </c>
      <c r="D20" s="1">
        <v>-96</v>
      </c>
      <c r="E20" s="3">
        <f t="shared" si="0"/>
        <v>4750</v>
      </c>
      <c r="F20" s="3">
        <f t="shared" si="1"/>
        <v>42191.172519509018</v>
      </c>
    </row>
    <row r="21" spans="1:6" x14ac:dyDescent="0.6">
      <c r="A21" t="s">
        <v>14</v>
      </c>
      <c r="B21" s="1">
        <v>112582792</v>
      </c>
      <c r="C21" s="1">
        <v>17220</v>
      </c>
      <c r="D21" s="1">
        <v>10142</v>
      </c>
      <c r="E21" s="3">
        <f t="shared" si="0"/>
        <v>22477</v>
      </c>
      <c r="F21" s="3">
        <f t="shared" si="1"/>
        <v>199648.62836231667</v>
      </c>
    </row>
    <row r="22" spans="1:6" x14ac:dyDescent="0.6">
      <c r="A22" t="s">
        <v>15</v>
      </c>
      <c r="B22" s="1">
        <v>112582792</v>
      </c>
      <c r="C22" s="1">
        <v>13320</v>
      </c>
      <c r="D22" s="1">
        <v>8708</v>
      </c>
      <c r="E22" s="3">
        <f t="shared" si="0"/>
        <v>27462</v>
      </c>
      <c r="F22" s="3">
        <f t="shared" si="1"/>
        <v>243927.15362752773</v>
      </c>
    </row>
    <row r="23" spans="1:6" x14ac:dyDescent="0.6">
      <c r="A23" t="s">
        <v>16</v>
      </c>
      <c r="B23" s="1">
        <v>112582792</v>
      </c>
      <c r="C23" s="1">
        <v>3913</v>
      </c>
      <c r="D23" s="1">
        <v>2885</v>
      </c>
      <c r="E23" s="3">
        <f t="shared" si="0"/>
        <v>24620</v>
      </c>
      <c r="F23" s="3">
        <f t="shared" si="1"/>
        <v>218683.5089326973</v>
      </c>
    </row>
    <row r="24" spans="1:6" x14ac:dyDescent="0.6">
      <c r="A24" t="s">
        <v>17</v>
      </c>
      <c r="B24" s="1">
        <v>112582792</v>
      </c>
      <c r="C24" s="1">
        <v>5494</v>
      </c>
      <c r="D24" s="1">
        <v>3345</v>
      </c>
      <c r="E24" s="3">
        <f t="shared" si="0"/>
        <v>18283</v>
      </c>
      <c r="F24" s="3">
        <f t="shared" si="1"/>
        <v>162396.04361561756</v>
      </c>
    </row>
    <row r="25" spans="1:6" x14ac:dyDescent="0.6">
      <c r="A25" t="s">
        <v>18</v>
      </c>
      <c r="B25" s="1">
        <v>112582792</v>
      </c>
      <c r="C25" s="1">
        <v>5710</v>
      </c>
      <c r="D25" s="1">
        <v>4107</v>
      </c>
      <c r="E25" s="3">
        <f t="shared" si="0"/>
        <v>14444</v>
      </c>
      <c r="F25" s="3">
        <f t="shared" si="1"/>
        <v>128296.69386774491</v>
      </c>
    </row>
    <row r="26" spans="1:6" x14ac:dyDescent="0.6">
      <c r="A26" t="s">
        <v>19</v>
      </c>
      <c r="B26" s="1">
        <v>112582792</v>
      </c>
      <c r="C26" s="1">
        <v>6292</v>
      </c>
      <c r="D26" s="1">
        <v>3447</v>
      </c>
      <c r="E26" s="3">
        <f t="shared" si="0"/>
        <v>14346</v>
      </c>
      <c r="F26" s="3">
        <f t="shared" si="1"/>
        <v>127426.22336102661</v>
      </c>
    </row>
    <row r="27" spans="1:6" x14ac:dyDescent="0.6">
      <c r="A27" t="s">
        <v>20</v>
      </c>
      <c r="B27" s="1">
        <v>112582792</v>
      </c>
      <c r="C27" s="1">
        <v>817</v>
      </c>
      <c r="D27" s="1">
        <v>1211</v>
      </c>
      <c r="E27" s="3">
        <f t="shared" si="0"/>
        <v>9976</v>
      </c>
      <c r="F27" s="3">
        <f t="shared" si="1"/>
        <v>88610.344643078308</v>
      </c>
    </row>
    <row r="28" spans="1:6" x14ac:dyDescent="0.6">
      <c r="A28" t="s">
        <v>25</v>
      </c>
      <c r="B28" s="1">
        <v>112582792</v>
      </c>
      <c r="C28" s="1">
        <v>-93</v>
      </c>
      <c r="D28" s="1">
        <v>303</v>
      </c>
      <c r="E28" s="3">
        <f t="shared" si="0"/>
        <v>5264</v>
      </c>
      <c r="F28" s="1"/>
    </row>
    <row r="29" spans="1:6" x14ac:dyDescent="0.6">
      <c r="A29" t="s">
        <v>26</v>
      </c>
      <c r="B29" s="1">
        <v>112582792</v>
      </c>
      <c r="C29" s="1">
        <v>-1643</v>
      </c>
      <c r="D29" s="1">
        <v>-669</v>
      </c>
      <c r="E29" s="1"/>
      <c r="F29" s="1"/>
    </row>
    <row r="30" spans="1:6" x14ac:dyDescent="0.6">
      <c r="A30" t="s">
        <v>27</v>
      </c>
      <c r="B30" s="1">
        <v>112582792</v>
      </c>
      <c r="C30" s="1">
        <v>-10073</v>
      </c>
      <c r="D30" s="1">
        <v>-8806</v>
      </c>
      <c r="E30" s="1"/>
      <c r="F30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S-Oil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2026-10-07T23:31:10Z</dcterms:modified>
</cp:coreProperties>
</file>