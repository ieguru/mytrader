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Driver\내 드라이브\Colab Notebooks\FIN\"/>
    </mc:Choice>
  </mc:AlternateContent>
  <xr:revisionPtr revIDLastSave="0" documentId="13_ncr:1_{812FEDA2-FAE1-4D29-BD29-6FE511BB546E}" xr6:coauthVersionLast="47" xr6:coauthVersionMax="47" xr10:uidLastSave="{00000000-0000-0000-0000-000000000000}"/>
  <bookViews>
    <workbookView xWindow="-120" yWindow="-120" windowWidth="29040" windowHeight="15720" xr2:uid="{C8A64B42-8E34-472D-889C-A2E6CC57E8C4}"/>
  </bookViews>
  <sheets>
    <sheet name="엠씨넥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E17" i="1"/>
  <c r="F17" i="1" s="1"/>
  <c r="E18" i="1"/>
  <c r="F18" i="1" s="1"/>
  <c r="E19" i="1"/>
  <c r="F19" i="1" s="1"/>
  <c r="E20" i="1"/>
  <c r="F20" i="1" s="1"/>
  <c r="E21" i="1"/>
  <c r="E3" i="1"/>
  <c r="F3" i="1" s="1"/>
  <c r="E2" i="1"/>
  <c r="F2" i="1" s="1"/>
  <c r="F21" i="1"/>
  <c r="F16" i="1"/>
  <c r="F4" i="1"/>
</calcChain>
</file>

<file path=xl/sharedStrings.xml><?xml version="1.0" encoding="utf-8"?>
<sst xmlns="http://schemas.openxmlformats.org/spreadsheetml/2006/main" count="28" uniqueCount="28">
  <si>
    <t>분기</t>
  </si>
  <si>
    <t>영업이익</t>
  </si>
  <si>
    <t>순이익</t>
  </si>
  <si>
    <t>2025.2Q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</si>
  <si>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</si>
  <si>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</si>
  <si>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</si>
  <si>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</si>
  <si>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</si>
  <si>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</si>
  <si>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</si>
  <si>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</si>
  <si>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</si>
  <si>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</si>
  <si>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</si>
  <si>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</si>
  <si>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</si>
  <si>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</si>
  <si>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</si>
  <si>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</si>
  <si>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</si>
  <si>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</si>
  <si>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</si>
  <si>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</si>
  <si>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</si>
  <si>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4Q_income</t>
  </si>
  <si>
    <t>목표가</t>
  </si>
  <si>
    <t>상장주식수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</si>
</sst>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3B97-E0BA-44BD-AE44-780C76559150}">
  <dimension ref="A1:F23"/>
  <sheetViews>
    <sheetView tabSelected="1" workbookViewId="0">
      <selection activeCell="E2" sqref="E2"/>
    </sheetView>
  </sheetViews>
  <sheetFormatPr defaultRowHeight="16.5" x14ac:dyDescent="0.3"/>
  <cols>
    <col min="2" max="2" width="10.25" bestFit="1" customWidth="1"/>
    <col min="6" max="6" width="7.5" bestFit="1" customWidth="1"/>
  </cols>
  <sheetData>
    <row r="1" spans="1:6" x14ac:dyDescent="0.3">
      <c r="A1" t="s">
        <v>0</v>
      </c>
      <c r="B1" t="s">
        <v>27</v>
      </c>
      <c r="C1" t="s">
        <v>1</v>
      </c>
      <c r="D1" t="s">
        <v>2</v>
      </c>
      <c r="E1" t="s">
        <v>25</v>
      </c>
      <c r="F1" t="s">
        <v>26</v>
      </c>
    </row>
    <row r="2" spans="1:6" x14ac:dyDescent="0.3">
      <c r="A2" t="s">
        <v>3</v>
      </c>
      <c r="B2" s="1">
        <v>17977732</v>
      </c>
      <c r="C2" s="2">
        <v>94</v>
      </c>
      <c r="D2" s="2">
        <v>87</v>
      </c>
      <c r="E2" s="2">
        <f>SUM(C2:C5)</f>
        <v>383</v>
      </c>
      <c r="F2" s="2">
        <f>E2*100000000/B2*15</f>
        <v>31956.200036801085</v>
      </c>
    </row>
    <row r="3" spans="1:6" x14ac:dyDescent="0.3">
      <c r="A3" t="s">
        <v>4</v>
      </c>
      <c r="B3" s="1">
        <v>17977732</v>
      </c>
      <c r="C3" s="2">
        <v>146</v>
      </c>
      <c r="D3" s="2">
        <v>113</v>
      </c>
      <c r="E3" s="2">
        <f>SUM(C2:C5)</f>
        <v>383</v>
      </c>
      <c r="F3" s="2">
        <f t="shared" ref="F3:F21" si="0">E3*100000000/B3*15</f>
        <v>31956.200036801085</v>
      </c>
    </row>
    <row r="4" spans="1:6" x14ac:dyDescent="0.3">
      <c r="A4" t="s">
        <v>5</v>
      </c>
      <c r="B4" s="1">
        <v>17977732</v>
      </c>
      <c r="C4" s="2">
        <v>112</v>
      </c>
      <c r="D4" s="2">
        <v>124</v>
      </c>
      <c r="E4" s="2">
        <f t="shared" ref="E4:E21" si="1">SUM(C3:C6)</f>
        <v>366</v>
      </c>
      <c r="F4" s="2">
        <f t="shared" si="0"/>
        <v>30537.778625245941</v>
      </c>
    </row>
    <row r="5" spans="1:6" x14ac:dyDescent="0.3">
      <c r="A5" t="s">
        <v>6</v>
      </c>
      <c r="B5" s="1">
        <v>17977732</v>
      </c>
      <c r="C5" s="2">
        <v>31</v>
      </c>
      <c r="D5" s="2">
        <v>25</v>
      </c>
      <c r="E5" s="2">
        <f t="shared" si="1"/>
        <v>372</v>
      </c>
      <c r="F5" s="2">
        <f t="shared" si="0"/>
        <v>31038.397946971287</v>
      </c>
    </row>
    <row r="6" spans="1:6" x14ac:dyDescent="0.3">
      <c r="A6" t="s">
        <v>7</v>
      </c>
      <c r="B6" s="1">
        <v>17977732</v>
      </c>
      <c r="C6" s="2">
        <v>77</v>
      </c>
      <c r="D6" s="2">
        <v>184</v>
      </c>
      <c r="E6" s="2">
        <f t="shared" si="1"/>
        <v>333</v>
      </c>
      <c r="F6" s="2">
        <f t="shared" si="0"/>
        <v>27784.372355756554</v>
      </c>
    </row>
    <row r="7" spans="1:6" x14ac:dyDescent="0.3">
      <c r="A7" t="s">
        <v>8</v>
      </c>
      <c r="B7" s="1">
        <v>17977732</v>
      </c>
      <c r="C7" s="2">
        <v>152</v>
      </c>
      <c r="D7" s="2">
        <v>159</v>
      </c>
      <c r="E7" s="2">
        <f t="shared" si="1"/>
        <v>406</v>
      </c>
      <c r="F7" s="2">
        <f t="shared" si="0"/>
        <v>33875.240770081567</v>
      </c>
    </row>
    <row r="8" spans="1:6" x14ac:dyDescent="0.3">
      <c r="A8" t="s">
        <v>9</v>
      </c>
      <c r="B8" s="1">
        <v>17977732</v>
      </c>
      <c r="C8" s="2">
        <v>73</v>
      </c>
      <c r="D8" s="2">
        <v>63</v>
      </c>
      <c r="E8" s="2">
        <f t="shared" si="1"/>
        <v>306</v>
      </c>
      <c r="F8" s="2">
        <f t="shared" si="0"/>
        <v>25531.585407992508</v>
      </c>
    </row>
    <row r="9" spans="1:6" x14ac:dyDescent="0.3">
      <c r="A9" t="s">
        <v>10</v>
      </c>
      <c r="B9" s="1">
        <v>17977732</v>
      </c>
      <c r="C9" s="2">
        <v>104</v>
      </c>
      <c r="D9" s="2">
        <v>96</v>
      </c>
      <c r="E9" s="2">
        <f t="shared" si="1"/>
        <v>182</v>
      </c>
      <c r="F9" s="2">
        <f t="shared" si="0"/>
        <v>15185.452759002081</v>
      </c>
    </row>
    <row r="10" spans="1:6" x14ac:dyDescent="0.3">
      <c r="A10" t="s">
        <v>11</v>
      </c>
      <c r="B10" s="1">
        <v>17977732</v>
      </c>
      <c r="C10" s="2">
        <v>-23</v>
      </c>
      <c r="D10" s="2">
        <v>38</v>
      </c>
      <c r="E10" s="2">
        <f t="shared" si="1"/>
        <v>133</v>
      </c>
      <c r="F10" s="2">
        <f t="shared" si="0"/>
        <v>11097.061631578445</v>
      </c>
    </row>
    <row r="11" spans="1:6" x14ac:dyDescent="0.3">
      <c r="A11" t="s">
        <v>12</v>
      </c>
      <c r="B11" s="1">
        <v>17977732</v>
      </c>
      <c r="C11" s="2">
        <v>28</v>
      </c>
      <c r="D11" s="2">
        <v>82</v>
      </c>
      <c r="E11" s="2">
        <f t="shared" si="1"/>
        <v>30</v>
      </c>
      <c r="F11" s="2">
        <f t="shared" si="0"/>
        <v>2503.0966086267163</v>
      </c>
    </row>
    <row r="12" spans="1:6" x14ac:dyDescent="0.3">
      <c r="A12" t="s">
        <v>13</v>
      </c>
      <c r="B12" s="1">
        <v>17977732</v>
      </c>
      <c r="C12" s="2">
        <v>24</v>
      </c>
      <c r="D12" s="2">
        <v>-74</v>
      </c>
      <c r="E12" s="2">
        <f t="shared" si="1"/>
        <v>95</v>
      </c>
      <c r="F12" s="2">
        <f t="shared" si="0"/>
        <v>7926.472593984603</v>
      </c>
    </row>
    <row r="13" spans="1:6" x14ac:dyDescent="0.3">
      <c r="A13" t="s">
        <v>14</v>
      </c>
      <c r="B13" s="1">
        <v>17977732</v>
      </c>
      <c r="C13" s="2">
        <v>1</v>
      </c>
      <c r="D13" s="2">
        <v>91</v>
      </c>
      <c r="E13" s="2">
        <f t="shared" si="1"/>
        <v>107</v>
      </c>
      <c r="F13" s="2">
        <f t="shared" si="0"/>
        <v>8927.7112374352891</v>
      </c>
    </row>
    <row r="14" spans="1:6" x14ac:dyDescent="0.3">
      <c r="A14" t="s">
        <v>15</v>
      </c>
      <c r="B14" s="1">
        <v>17977732</v>
      </c>
      <c r="C14" s="2">
        <v>42</v>
      </c>
      <c r="D14" s="2">
        <v>141</v>
      </c>
      <c r="E14" s="2">
        <f t="shared" si="1"/>
        <v>209</v>
      </c>
      <c r="F14" s="2">
        <f t="shared" si="0"/>
        <v>17438.239706766126</v>
      </c>
    </row>
    <row r="15" spans="1:6" x14ac:dyDescent="0.3">
      <c r="A15" t="s">
        <v>16</v>
      </c>
      <c r="B15" s="1">
        <v>17977732</v>
      </c>
      <c r="C15" s="2">
        <v>40</v>
      </c>
      <c r="D15" s="2">
        <v>71</v>
      </c>
      <c r="E15" s="2">
        <f t="shared" si="1"/>
        <v>283</v>
      </c>
      <c r="F15" s="2">
        <f t="shared" si="0"/>
        <v>23612.54467471203</v>
      </c>
    </row>
    <row r="16" spans="1:6" x14ac:dyDescent="0.3">
      <c r="A16" t="s">
        <v>17</v>
      </c>
      <c r="B16" s="1">
        <v>17977732</v>
      </c>
      <c r="C16" s="2">
        <v>126</v>
      </c>
      <c r="D16" s="2">
        <v>179</v>
      </c>
      <c r="E16" s="2">
        <f t="shared" si="1"/>
        <v>234</v>
      </c>
      <c r="F16" s="2">
        <f t="shared" si="0"/>
        <v>19524.153547288392</v>
      </c>
    </row>
    <row r="17" spans="1:6" x14ac:dyDescent="0.3">
      <c r="A17" t="s">
        <v>18</v>
      </c>
      <c r="B17" s="1">
        <v>17977732</v>
      </c>
      <c r="C17" s="2">
        <v>75</v>
      </c>
      <c r="D17" s="2">
        <v>104</v>
      </c>
      <c r="E17" s="2">
        <f t="shared" si="1"/>
        <v>239</v>
      </c>
      <c r="F17" s="2">
        <f t="shared" si="0"/>
        <v>19941.336315392844</v>
      </c>
    </row>
    <row r="18" spans="1:6" x14ac:dyDescent="0.3">
      <c r="A18" t="s">
        <v>19</v>
      </c>
      <c r="B18" s="1">
        <v>17977732</v>
      </c>
      <c r="C18" s="2">
        <v>-7</v>
      </c>
      <c r="D18" s="2">
        <v>-1</v>
      </c>
      <c r="E18" s="2">
        <f t="shared" si="1"/>
        <v>237</v>
      </c>
      <c r="F18" s="2">
        <f t="shared" si="0"/>
        <v>19774.463208151061</v>
      </c>
    </row>
    <row r="19" spans="1:6" x14ac:dyDescent="0.3">
      <c r="A19" t="s">
        <v>20</v>
      </c>
      <c r="B19" s="1">
        <v>17977732</v>
      </c>
      <c r="C19" s="2">
        <v>45</v>
      </c>
      <c r="D19" s="2">
        <v>113</v>
      </c>
      <c r="E19" s="2">
        <f t="shared" si="1"/>
        <v>422</v>
      </c>
      <c r="F19" s="2">
        <f t="shared" si="0"/>
        <v>35210.225628015818</v>
      </c>
    </row>
    <row r="20" spans="1:6" x14ac:dyDescent="0.3">
      <c r="A20" t="s">
        <v>21</v>
      </c>
      <c r="B20" s="1">
        <v>17977732</v>
      </c>
      <c r="C20" s="2">
        <v>124</v>
      </c>
      <c r="D20" s="2">
        <v>-28</v>
      </c>
      <c r="E20" s="2">
        <f t="shared" si="1"/>
        <v>439</v>
      </c>
      <c r="F20" s="2">
        <f t="shared" si="0"/>
        <v>36628.647039570948</v>
      </c>
    </row>
    <row r="21" spans="1:6" x14ac:dyDescent="0.3">
      <c r="A21" t="s">
        <v>22</v>
      </c>
      <c r="B21" s="1">
        <v>17977732</v>
      </c>
      <c r="C21" s="2">
        <v>260</v>
      </c>
      <c r="D21" s="2">
        <v>199</v>
      </c>
      <c r="E21" s="2">
        <f t="shared" si="1"/>
        <v>591</v>
      </c>
      <c r="F21" s="2">
        <f t="shared" si="0"/>
        <v>49311.003189946321</v>
      </c>
    </row>
    <row r="22" spans="1:6" x14ac:dyDescent="0.3">
      <c r="A22" t="s">
        <v>23</v>
      </c>
      <c r="B22" s="1">
        <v>17977732</v>
      </c>
      <c r="C22" s="2">
        <v>10</v>
      </c>
      <c r="D22" s="2">
        <v>11</v>
      </c>
      <c r="E22" s="2"/>
      <c r="F22" s="2"/>
    </row>
    <row r="23" spans="1:6" x14ac:dyDescent="0.3">
      <c r="A23" t="s">
        <v>24</v>
      </c>
      <c r="B23" s="1">
        <v>17977732</v>
      </c>
      <c r="C23">
        <v>197</v>
      </c>
      <c r="D23" s="2">
        <v>203</v>
      </c>
      <c r="E23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엠씨넥스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2025-01-28T09:48:08Z</dcterms:created>
  <dcterms:modified xsi:type="dcterms:W3CDTF">2025-01-29T09:48:15Z</dcterms:modified>
</cp:coreProperties>
</file>