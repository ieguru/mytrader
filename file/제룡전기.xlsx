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CD7197E7-6212-44C4-9731-98BE57936340}" xr6:coauthVersionLast="47" xr6:coauthVersionMax="47" xr10:uidLastSave="{00000000-0000-0000-0000-000000000000}"/>
  <bookViews>
    <workbookView xWindow="9188" yWindow="1628" windowWidth="17992" windowHeight="13560" xr2:uid="{F3F7D298-1ADE-49D1-9A01-4ACC9DCD781B}"/>
  </bookViews>
  <sheets>
    <sheet name="제룡전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F4" i="1" s="1"/>
  <c r="E5" i="1"/>
  <c r="F5" i="1" s="1"/>
  <c r="E6" i="1"/>
  <c r="F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<sst xmlns="http://schemas.openxmlformats.org/spreadsheetml/2006/main" count="32" uniqueCount="32">
  <si>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</si>
  <si>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</si>
  <si>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</si>
  <si>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</si>
  <si>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</si>
  <si>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</si>
  <si>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</si>
  <si>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</si>
  <si>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</si>
  <si>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</si>
  <si>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</si>
  <si>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</si>
  <si>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</si>
  <si>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</si>
  <si>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</si>
  <si>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</si>
  <si>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</si>
  <si>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</si>
  <si>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</si>
  <si>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</si>
  <si>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</si>
  <si>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</si>
  <si>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</si>
  <si>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</si>
  <si>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9" type="noConversion"/>
  </si>
  <si>
    <t>4Q_income</t>
  </si>
  <si>
    <t>목표가</t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</si>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</sst>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CAE8-CD0F-44E5-B263-8BB8ECFB71A9}">
  <dimension ref="A1:F28"/>
  <sheetViews>
    <sheetView tabSelected="1" workbookViewId="0">
      <selection activeCell="F2" sqref="F2:F25"/>
    </sheetView>
  </sheetViews>
  <sheetFormatPr defaultRowHeight="16.899999999999999" x14ac:dyDescent="0.6"/>
  <cols>
    <col min="2" max="2" width="9.7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31</v>
      </c>
      <c r="B2" s="1">
        <v>16062409</v>
      </c>
      <c r="C2">
        <v>328</v>
      </c>
      <c r="D2">
        <v>272</v>
      </c>
      <c r="E2">
        <f>2*SUM(C2:C3)</f>
        <v>976</v>
      </c>
      <c r="F2" s="2">
        <f t="shared" ref="F2" si="0">E2*100000000/B2*10</f>
        <v>60762.990159197172</v>
      </c>
    </row>
    <row r="3" spans="1:6" x14ac:dyDescent="0.6">
      <c r="A3" t="s">
        <v>27</v>
      </c>
      <c r="B3" s="1">
        <v>16062409</v>
      </c>
      <c r="C3">
        <v>160</v>
      </c>
      <c r="D3">
        <v>147</v>
      </c>
      <c r="E3">
        <f t="shared" ref="E2:E3" si="1">2*SUM(C2:C3)</f>
        <v>976</v>
      </c>
      <c r="F3" s="2">
        <f t="shared" ref="F3" si="2">E3*100000000/B3*10</f>
        <v>60762.990159197172</v>
      </c>
    </row>
    <row r="4" spans="1:6" x14ac:dyDescent="0.6">
      <c r="A4" t="s">
        <v>28</v>
      </c>
      <c r="B4" s="1">
        <v>16062409</v>
      </c>
      <c r="C4">
        <v>80</v>
      </c>
      <c r="D4">
        <v>80</v>
      </c>
      <c r="E4">
        <f>2*SUM(C3:C4)</f>
        <v>480</v>
      </c>
      <c r="F4" s="2">
        <f t="shared" ref="F4:F6" si="3">E4*100000000/B4*10</f>
        <v>29883.437783211721</v>
      </c>
    </row>
    <row r="5" spans="1:6" x14ac:dyDescent="0.6">
      <c r="A5" t="s">
        <v>29</v>
      </c>
      <c r="B5" s="1">
        <v>16062409</v>
      </c>
      <c r="C5">
        <v>226</v>
      </c>
      <c r="D5">
        <v>200</v>
      </c>
      <c r="E5">
        <f t="shared" ref="E5:E6" si="4">SUM(C4:C7)</f>
        <v>794</v>
      </c>
      <c r="F5" s="2">
        <f t="shared" si="3"/>
        <v>49432.186666396054</v>
      </c>
    </row>
    <row r="6" spans="1:6" x14ac:dyDescent="0.6">
      <c r="A6" t="s">
        <v>30</v>
      </c>
      <c r="B6" s="1">
        <v>16062409</v>
      </c>
      <c r="C6">
        <v>328</v>
      </c>
      <c r="D6">
        <v>272</v>
      </c>
      <c r="E6">
        <f t="shared" si="4"/>
        <v>841</v>
      </c>
      <c r="F6" s="2">
        <f t="shared" si="3"/>
        <v>52358.273282668873</v>
      </c>
    </row>
    <row r="7" spans="1:6" x14ac:dyDescent="0.6">
      <c r="A7" t="s">
        <v>3</v>
      </c>
      <c r="B7" s="1">
        <v>16062409</v>
      </c>
      <c r="C7">
        <v>160</v>
      </c>
      <c r="D7">
        <v>147</v>
      </c>
      <c r="E7">
        <f>SUM(C7:C10)</f>
        <v>881</v>
      </c>
      <c r="F7" s="2">
        <f>E7*100000000/B7*10</f>
        <v>54848.559764603182</v>
      </c>
    </row>
    <row r="8" spans="1:6" x14ac:dyDescent="0.6">
      <c r="A8" t="s">
        <v>4</v>
      </c>
      <c r="B8" s="1">
        <v>16062409</v>
      </c>
      <c r="C8">
        <v>127</v>
      </c>
      <c r="D8">
        <v>105</v>
      </c>
      <c r="E8">
        <f>SUM(C7:C10)</f>
        <v>881</v>
      </c>
      <c r="F8" s="2">
        <f t="shared" ref="F8:F24" si="5">E8*100000000/B8*10</f>
        <v>54848.559764603182</v>
      </c>
    </row>
    <row r="9" spans="1:6" x14ac:dyDescent="0.6">
      <c r="A9" t="s">
        <v>5</v>
      </c>
      <c r="B9" s="1">
        <v>16062409</v>
      </c>
      <c r="C9">
        <v>266</v>
      </c>
      <c r="D9">
        <v>204</v>
      </c>
      <c r="E9">
        <f t="shared" ref="E9:E25" si="6">SUM(C8:C11)</f>
        <v>979</v>
      </c>
      <c r="F9" s="2">
        <f t="shared" si="5"/>
        <v>60949.761645342238</v>
      </c>
    </row>
    <row r="10" spans="1:6" x14ac:dyDescent="0.6">
      <c r="A10" t="s">
        <v>6</v>
      </c>
      <c r="B10" s="1">
        <v>16062409</v>
      </c>
      <c r="C10">
        <v>328</v>
      </c>
      <c r="D10">
        <v>272</v>
      </c>
      <c r="E10">
        <f t="shared" si="6"/>
        <v>1100</v>
      </c>
      <c r="F10" s="2">
        <f t="shared" si="5"/>
        <v>68482.878253193529</v>
      </c>
    </row>
    <row r="11" spans="1:6" x14ac:dyDescent="0.6">
      <c r="A11" t="s">
        <v>7</v>
      </c>
      <c r="B11" s="1">
        <v>16062409</v>
      </c>
      <c r="C11">
        <v>258</v>
      </c>
      <c r="D11">
        <v>217</v>
      </c>
      <c r="E11">
        <f t="shared" si="6"/>
        <v>1005</v>
      </c>
      <c r="F11" s="2">
        <f t="shared" si="5"/>
        <v>62568.447858599538</v>
      </c>
    </row>
    <row r="12" spans="1:6" x14ac:dyDescent="0.6">
      <c r="A12" t="s">
        <v>8</v>
      </c>
      <c r="B12" s="1">
        <v>16062409</v>
      </c>
      <c r="C12">
        <v>248</v>
      </c>
      <c r="D12">
        <v>189</v>
      </c>
      <c r="E12">
        <f t="shared" si="6"/>
        <v>874</v>
      </c>
      <c r="F12" s="2">
        <f t="shared" si="5"/>
        <v>54412.759630264671</v>
      </c>
    </row>
    <row r="13" spans="1:6" x14ac:dyDescent="0.6">
      <c r="A13" t="s">
        <v>9</v>
      </c>
      <c r="B13" s="1">
        <v>16062409</v>
      </c>
      <c r="C13">
        <v>171</v>
      </c>
      <c r="D13">
        <v>141</v>
      </c>
      <c r="E13">
        <f t="shared" si="6"/>
        <v>701</v>
      </c>
      <c r="F13" s="2">
        <f t="shared" si="5"/>
        <v>43642.270595898779</v>
      </c>
    </row>
    <row r="14" spans="1:6" x14ac:dyDescent="0.6">
      <c r="A14" t="s">
        <v>10</v>
      </c>
      <c r="B14" s="1">
        <v>16062409</v>
      </c>
      <c r="C14">
        <v>197</v>
      </c>
      <c r="D14">
        <v>158</v>
      </c>
      <c r="E14">
        <f t="shared" si="6"/>
        <v>544</v>
      </c>
      <c r="F14" s="2">
        <f t="shared" si="5"/>
        <v>33867.896154306618</v>
      </c>
    </row>
    <row r="15" spans="1:6" x14ac:dyDescent="0.6">
      <c r="A15" t="s">
        <v>11</v>
      </c>
      <c r="B15" s="1">
        <v>16062409</v>
      </c>
      <c r="C15">
        <v>85</v>
      </c>
      <c r="D15">
        <v>75</v>
      </c>
      <c r="E15">
        <f t="shared" si="6"/>
        <v>439</v>
      </c>
      <c r="F15" s="2">
        <f t="shared" si="5"/>
        <v>27330.894139229054</v>
      </c>
    </row>
    <row r="16" spans="1:6" x14ac:dyDescent="0.6">
      <c r="A16" t="s">
        <v>12</v>
      </c>
      <c r="B16" s="1">
        <v>16062409</v>
      </c>
      <c r="C16">
        <v>91</v>
      </c>
      <c r="D16">
        <v>55</v>
      </c>
      <c r="E16">
        <f t="shared" si="6"/>
        <v>252</v>
      </c>
      <c r="F16" s="2">
        <f t="shared" si="5"/>
        <v>15688.804836186155</v>
      </c>
    </row>
    <row r="17" spans="1:6" x14ac:dyDescent="0.6">
      <c r="A17" t="s">
        <v>13</v>
      </c>
      <c r="B17" s="1">
        <v>16062409</v>
      </c>
      <c r="C17">
        <v>66</v>
      </c>
      <c r="D17">
        <v>61</v>
      </c>
      <c r="E17">
        <f t="shared" si="6"/>
        <v>160</v>
      </c>
      <c r="F17" s="2">
        <f t="shared" si="5"/>
        <v>9961.1459277372396</v>
      </c>
    </row>
    <row r="18" spans="1:6" x14ac:dyDescent="0.6">
      <c r="A18" t="s">
        <v>14</v>
      </c>
      <c r="B18" s="1">
        <v>16062409</v>
      </c>
      <c r="C18">
        <v>10</v>
      </c>
      <c r="D18">
        <v>13</v>
      </c>
      <c r="E18">
        <f t="shared" si="6"/>
        <v>74</v>
      </c>
      <c r="F18" s="2">
        <f t="shared" si="5"/>
        <v>4607.0299915784735</v>
      </c>
    </row>
    <row r="19" spans="1:6" x14ac:dyDescent="0.6">
      <c r="A19" t="s">
        <v>15</v>
      </c>
      <c r="B19" s="1">
        <v>16062409</v>
      </c>
      <c r="C19">
        <v>-7</v>
      </c>
      <c r="D19">
        <v>-5</v>
      </c>
      <c r="E19">
        <f t="shared" si="6"/>
        <v>1</v>
      </c>
      <c r="F19" s="2">
        <f t="shared" si="5"/>
        <v>62.257162048357756</v>
      </c>
    </row>
    <row r="20" spans="1:6" x14ac:dyDescent="0.6">
      <c r="A20" t="s">
        <v>16</v>
      </c>
      <c r="B20" s="1">
        <v>16062409</v>
      </c>
      <c r="C20">
        <v>5</v>
      </c>
      <c r="D20">
        <v>5</v>
      </c>
      <c r="E20">
        <f t="shared" si="6"/>
        <v>-3</v>
      </c>
      <c r="F20" s="2">
        <f t="shared" si="5"/>
        <v>-186.77148614507325</v>
      </c>
    </row>
    <row r="21" spans="1:6" x14ac:dyDescent="0.6">
      <c r="A21" t="s">
        <v>17</v>
      </c>
      <c r="B21" s="1">
        <v>16062409</v>
      </c>
      <c r="C21">
        <v>-7</v>
      </c>
      <c r="D21">
        <v>-2</v>
      </c>
      <c r="E21">
        <f t="shared" si="6"/>
        <v>1</v>
      </c>
      <c r="F21" s="2">
        <f t="shared" si="5"/>
        <v>62.257162048357756</v>
      </c>
    </row>
    <row r="22" spans="1:6" x14ac:dyDescent="0.6">
      <c r="A22" t="s">
        <v>18</v>
      </c>
      <c r="B22" s="1">
        <v>16062409</v>
      </c>
      <c r="C22">
        <v>6</v>
      </c>
      <c r="D22">
        <v>7</v>
      </c>
      <c r="E22">
        <f t="shared" si="6"/>
        <v>9</v>
      </c>
      <c r="F22" s="2">
        <f t="shared" si="5"/>
        <v>560.31445843521976</v>
      </c>
    </row>
    <row r="23" spans="1:6" x14ac:dyDescent="0.6">
      <c r="A23" t="s">
        <v>19</v>
      </c>
      <c r="B23" s="1">
        <v>16062409</v>
      </c>
      <c r="C23">
        <v>-3</v>
      </c>
      <c r="D23">
        <v>1</v>
      </c>
      <c r="E23">
        <f t="shared" si="6"/>
        <v>14</v>
      </c>
      <c r="F23" s="2">
        <f t="shared" si="5"/>
        <v>871.60026867700844</v>
      </c>
    </row>
    <row r="24" spans="1:6" x14ac:dyDescent="0.6">
      <c r="A24" t="s">
        <v>20</v>
      </c>
      <c r="B24" s="1">
        <v>16062409</v>
      </c>
      <c r="C24">
        <v>13</v>
      </c>
      <c r="D24">
        <v>10</v>
      </c>
      <c r="E24">
        <f t="shared" si="6"/>
        <v>28</v>
      </c>
      <c r="F24" s="2">
        <f t="shared" si="5"/>
        <v>1743.2005373540169</v>
      </c>
    </row>
    <row r="25" spans="1:6" x14ac:dyDescent="0.6">
      <c r="A25" t="s">
        <v>21</v>
      </c>
      <c r="B25" s="1">
        <v>16062409</v>
      </c>
      <c r="C25">
        <v>-2</v>
      </c>
      <c r="D25">
        <v>1</v>
      </c>
      <c r="E25">
        <f t="shared" si="6"/>
        <v>39</v>
      </c>
      <c r="F25" s="2">
        <f>E25*100000000/B25*10</f>
        <v>2428.0293198859526</v>
      </c>
    </row>
    <row r="26" spans="1:6" x14ac:dyDescent="0.6">
      <c r="A26" t="s">
        <v>22</v>
      </c>
      <c r="B26" s="1">
        <v>16062409</v>
      </c>
      <c r="C26">
        <v>20</v>
      </c>
      <c r="D26">
        <v>16</v>
      </c>
      <c r="F26" s="2"/>
    </row>
    <row r="27" spans="1:6" x14ac:dyDescent="0.6">
      <c r="A27" t="s">
        <v>23</v>
      </c>
      <c r="B27" s="1">
        <v>16062409</v>
      </c>
      <c r="C27">
        <v>8</v>
      </c>
      <c r="D27">
        <v>9</v>
      </c>
      <c r="F27" s="2"/>
    </row>
    <row r="28" spans="1:6" x14ac:dyDescent="0.6">
      <c r="F2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제룡전기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2025-05-27T02:41:24Z</dcterms:created>
  <dcterms:modified xsi:type="dcterms:W3CDTF">2026-04-15T23:20:18Z</dcterms:modified>
</cp:coreProperties>
</file>