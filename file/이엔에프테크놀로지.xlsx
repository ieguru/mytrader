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62C64403-9E46-47F4-8EDF-F335AB127F91}" xr6:coauthVersionLast="47" xr6:coauthVersionMax="47" xr10:uidLastSave="{00000000-0000-0000-0000-000000000000}"/>
  <bookViews>
    <workbookView xWindow="28635" yWindow="2160" windowWidth="15878" windowHeight="13455" xr2:uid="{D3AF1327-C308-42CF-AFA5-FE59593F7F78}"/>
  </bookViews>
  <sheets>
    <sheet name="이엔에프테크놀로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E18" i="1"/>
  <c r="E19" i="1"/>
  <c r="E20" i="1"/>
  <c r="E21" i="1"/>
  <c r="F21" i="1" s="1"/>
  <c r="E22" i="1"/>
  <c r="E23" i="1"/>
  <c r="E24" i="1"/>
  <c r="E3" i="1"/>
  <c r="F3" i="1" s="1"/>
  <c r="E2" i="1"/>
  <c r="F2" i="1" s="1"/>
  <c r="F24" i="1"/>
  <c r="F23" i="1"/>
  <c r="F22" i="1"/>
  <c r="F20" i="1"/>
  <c r="F19" i="1"/>
  <c r="F18" i="1"/>
  <c r="F17" i="1"/>
  <c r="F16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<sst xmlns="http://schemas.openxmlformats.org/spreadsheetml/2006/main" count="30" uniqueCount="30">
  <si>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</si>
  <si>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</si>
  <si>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</si>
  <si>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</si>
  <si>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</si>
  <si>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</si>
  <si>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</si>
  <si>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</si>
  <si>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</si>
  <si>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</si>
  <si>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</si>
  <si>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</si>
  <si>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</si>
  <si>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</si>
  <si>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</si>
  <si>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</si>
  <si>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</si>
  <si>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</si>
  <si>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</si>
  <si>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</si>
  <si>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</si>
  <si>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</si>
  <si>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</si>
  <si>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</si>
  <si>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2025.3Q</t>
    <phoneticPr fontId="18" type="noConversion"/>
  </si>
  <si>
    <t>2025.4Q</t>
  </si>
  <si>
    <t>2026.1Q</t>
    <phoneticPr fontId="18" type="noConversion"/>
  </si>
  <si>
    <t>2026.2Q</t>
    <phoneticPr fontId="18" type="noConversion"/>
  </si>
  <si>
    <t>-</t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</si>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</sst>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14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8"/>
  <sheetViews>
    <sheetView tabSelected="1" workbookViewId="0">
      <selection activeCell="E3" sqref="E3:E24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29</v>
      </c>
      <c r="B2" s="1">
        <v>14287836</v>
      </c>
      <c r="C2" s="3">
        <v>232</v>
      </c>
      <c r="D2" s="3">
        <v>161</v>
      </c>
      <c r="E2">
        <f>(C2*2+C3*2)</f>
        <v>854</v>
      </c>
      <c r="F2" s="2">
        <f>E2*100000000/B2*15</f>
        <v>89656.684189264211</v>
      </c>
    </row>
    <row r="3" spans="1:6" x14ac:dyDescent="0.6">
      <c r="A3" t="s">
        <v>27</v>
      </c>
      <c r="B3" s="1">
        <v>14287836</v>
      </c>
      <c r="C3" s="3">
        <v>195</v>
      </c>
      <c r="D3" s="3">
        <v>139</v>
      </c>
      <c r="E3">
        <f>(C3*2+C2*2)</f>
        <v>854</v>
      </c>
      <c r="F3" s="2">
        <f>E3*100000000/B3*15</f>
        <v>89656.684189264211</v>
      </c>
    </row>
    <row r="4" spans="1:6" x14ac:dyDescent="0.6">
      <c r="A4" t="s">
        <v>26</v>
      </c>
      <c r="B4" s="1">
        <v>14287836</v>
      </c>
      <c r="C4">
        <v>221</v>
      </c>
      <c r="D4">
        <v>161</v>
      </c>
      <c r="E4">
        <f t="shared" ref="E4:E24" si="0">(C4*2+C3*2)</f>
        <v>832</v>
      </c>
      <c r="F4" s="2">
        <f t="shared" ref="F4:F24" si="1">E4*100000000/B4*15</f>
        <v>87347.02721951736</v>
      </c>
    </row>
    <row r="5" spans="1:6" x14ac:dyDescent="0.6">
      <c r="A5" t="s">
        <v>25</v>
      </c>
      <c r="B5" s="1">
        <v>14287836</v>
      </c>
      <c r="C5">
        <v>112</v>
      </c>
      <c r="D5">
        <v>146</v>
      </c>
      <c r="E5">
        <f t="shared" si="0"/>
        <v>666</v>
      </c>
      <c r="F5" s="2">
        <f t="shared" si="1"/>
        <v>69919.615538700193</v>
      </c>
    </row>
    <row r="6" spans="1:6" x14ac:dyDescent="0.6">
      <c r="A6" t="s">
        <v>24</v>
      </c>
      <c r="B6" s="1">
        <v>14287836</v>
      </c>
      <c r="C6">
        <v>220</v>
      </c>
      <c r="D6">
        <v>156</v>
      </c>
      <c r="E6">
        <f t="shared" si="0"/>
        <v>664</v>
      </c>
      <c r="F6" s="2">
        <f t="shared" si="1"/>
        <v>69709.646723268655</v>
      </c>
    </row>
    <row r="7" spans="1:6" x14ac:dyDescent="0.6">
      <c r="A7" t="s">
        <v>6</v>
      </c>
      <c r="B7" s="1">
        <v>14287836</v>
      </c>
      <c r="C7">
        <v>235</v>
      </c>
      <c r="D7">
        <v>147</v>
      </c>
      <c r="E7">
        <f t="shared" si="0"/>
        <v>910</v>
      </c>
      <c r="F7" s="2">
        <f t="shared" si="1"/>
        <v>95535.811021347108</v>
      </c>
    </row>
    <row r="8" spans="1:6" x14ac:dyDescent="0.6">
      <c r="A8" t="s">
        <v>7</v>
      </c>
      <c r="B8" s="1">
        <v>14287836</v>
      </c>
      <c r="C8">
        <v>215</v>
      </c>
      <c r="D8">
        <v>141</v>
      </c>
      <c r="E8">
        <f t="shared" si="0"/>
        <v>900</v>
      </c>
      <c r="F8" s="2">
        <f t="shared" si="1"/>
        <v>94485.966944189451</v>
      </c>
    </row>
    <row r="9" spans="1:6" x14ac:dyDescent="0.6">
      <c r="A9" t="s">
        <v>8</v>
      </c>
      <c r="B9" s="1">
        <v>14287836</v>
      </c>
      <c r="C9">
        <v>153</v>
      </c>
      <c r="D9">
        <v>27</v>
      </c>
      <c r="E9">
        <f t="shared" si="0"/>
        <v>736</v>
      </c>
      <c r="F9" s="2">
        <f t="shared" si="1"/>
        <v>77268.524078803821</v>
      </c>
    </row>
    <row r="10" spans="1:6" x14ac:dyDescent="0.6">
      <c r="A10" t="s">
        <v>9</v>
      </c>
      <c r="B10" s="1">
        <v>14287836</v>
      </c>
      <c r="C10">
        <v>199</v>
      </c>
      <c r="D10">
        <v>120</v>
      </c>
      <c r="E10">
        <f t="shared" si="0"/>
        <v>704</v>
      </c>
      <c r="F10" s="2">
        <f t="shared" si="1"/>
        <v>73909.023031899298</v>
      </c>
    </row>
    <row r="11" spans="1:6" x14ac:dyDescent="0.6">
      <c r="A11" t="s">
        <v>10</v>
      </c>
      <c r="B11" s="1">
        <v>14287836</v>
      </c>
      <c r="C11">
        <v>166</v>
      </c>
      <c r="D11">
        <v>100</v>
      </c>
      <c r="E11">
        <f t="shared" si="0"/>
        <v>730</v>
      </c>
      <c r="F11" s="2">
        <f t="shared" si="1"/>
        <v>76638.617632509224</v>
      </c>
    </row>
    <row r="12" spans="1:6" x14ac:dyDescent="0.6">
      <c r="A12" t="s">
        <v>11</v>
      </c>
      <c r="B12" s="1">
        <v>14287836</v>
      </c>
      <c r="C12">
        <v>75</v>
      </c>
      <c r="D12">
        <v>51</v>
      </c>
      <c r="E12">
        <f t="shared" si="0"/>
        <v>482</v>
      </c>
      <c r="F12" s="2">
        <f t="shared" si="1"/>
        <v>50602.484518999241</v>
      </c>
    </row>
    <row r="13" spans="1:6" x14ac:dyDescent="0.6">
      <c r="A13" t="s">
        <v>12</v>
      </c>
      <c r="B13" s="1">
        <v>14287836</v>
      </c>
      <c r="C13">
        <v>46</v>
      </c>
      <c r="D13">
        <v>-301</v>
      </c>
      <c r="E13">
        <f t="shared" si="0"/>
        <v>242</v>
      </c>
      <c r="F13" s="2">
        <f t="shared" si="1"/>
        <v>25406.226667215386</v>
      </c>
    </row>
    <row r="14" spans="1:6" x14ac:dyDescent="0.6">
      <c r="A14" t="s">
        <v>13</v>
      </c>
      <c r="B14" s="1">
        <v>14287836</v>
      </c>
      <c r="C14">
        <v>104</v>
      </c>
      <c r="D14">
        <v>55</v>
      </c>
      <c r="E14">
        <f t="shared" si="0"/>
        <v>300</v>
      </c>
      <c r="F14" s="2">
        <f t="shared" si="1"/>
        <v>31495.322314729819</v>
      </c>
    </row>
    <row r="15" spans="1:6" x14ac:dyDescent="0.6">
      <c r="A15" t="s">
        <v>14</v>
      </c>
      <c r="B15" s="1">
        <v>14287836</v>
      </c>
      <c r="C15">
        <v>45</v>
      </c>
      <c r="D15">
        <v>-33</v>
      </c>
      <c r="E15">
        <f t="shared" si="0"/>
        <v>298</v>
      </c>
      <c r="F15" s="2">
        <f t="shared" si="1"/>
        <v>31285.353499298286</v>
      </c>
    </row>
    <row r="16" spans="1:6" x14ac:dyDescent="0.6">
      <c r="A16" t="s">
        <v>15</v>
      </c>
      <c r="B16" s="1">
        <v>14287836</v>
      </c>
      <c r="C16">
        <v>52</v>
      </c>
      <c r="D16">
        <v>46</v>
      </c>
      <c r="E16">
        <f t="shared" si="0"/>
        <v>194</v>
      </c>
      <c r="F16" s="2">
        <f t="shared" si="1"/>
        <v>20366.975096858616</v>
      </c>
    </row>
    <row r="17" spans="1:6" x14ac:dyDescent="0.6">
      <c r="A17" t="s">
        <v>16</v>
      </c>
      <c r="B17" s="1">
        <v>14287836</v>
      </c>
      <c r="C17">
        <v>85</v>
      </c>
      <c r="D17">
        <v>-25</v>
      </c>
      <c r="E17">
        <f t="shared" si="0"/>
        <v>274</v>
      </c>
      <c r="F17" s="2">
        <f t="shared" si="1"/>
        <v>28765.727714119901</v>
      </c>
    </row>
    <row r="18" spans="1:6" x14ac:dyDescent="0.6">
      <c r="A18" t="s">
        <v>17</v>
      </c>
      <c r="B18" s="1">
        <v>14287836</v>
      </c>
      <c r="C18">
        <v>206</v>
      </c>
      <c r="D18">
        <v>189</v>
      </c>
      <c r="E18">
        <f t="shared" si="0"/>
        <v>582</v>
      </c>
      <c r="F18" s="2">
        <f t="shared" si="1"/>
        <v>61100.92529057584</v>
      </c>
    </row>
    <row r="19" spans="1:6" x14ac:dyDescent="0.6">
      <c r="A19" t="s">
        <v>18</v>
      </c>
      <c r="B19" s="1">
        <v>14287836</v>
      </c>
      <c r="C19">
        <v>217</v>
      </c>
      <c r="D19">
        <v>177</v>
      </c>
      <c r="E19">
        <f t="shared" si="0"/>
        <v>846</v>
      </c>
      <c r="F19" s="2">
        <f t="shared" si="1"/>
        <v>88816.808927538077</v>
      </c>
    </row>
    <row r="20" spans="1:6" x14ac:dyDescent="0.6">
      <c r="A20" t="s">
        <v>19</v>
      </c>
      <c r="B20" s="1">
        <v>14287836</v>
      </c>
      <c r="C20">
        <v>138</v>
      </c>
      <c r="D20">
        <v>109</v>
      </c>
      <c r="E20">
        <f t="shared" si="0"/>
        <v>710</v>
      </c>
      <c r="F20" s="2">
        <f t="shared" si="1"/>
        <v>74538.92947819391</v>
      </c>
    </row>
    <row r="21" spans="1:6" x14ac:dyDescent="0.6">
      <c r="A21" t="s">
        <v>20</v>
      </c>
      <c r="B21" s="1">
        <v>14287836</v>
      </c>
      <c r="C21">
        <v>27</v>
      </c>
      <c r="D21" t="s">
        <v>28</v>
      </c>
      <c r="E21">
        <f t="shared" si="0"/>
        <v>330</v>
      </c>
      <c r="F21" s="2">
        <f t="shared" si="1"/>
        <v>34644.854546202798</v>
      </c>
    </row>
    <row r="22" spans="1:6" x14ac:dyDescent="0.6">
      <c r="A22" t="s">
        <v>21</v>
      </c>
      <c r="B22" s="1">
        <v>14287836</v>
      </c>
      <c r="C22">
        <v>132</v>
      </c>
      <c r="D22">
        <v>119</v>
      </c>
      <c r="E22">
        <f t="shared" si="0"/>
        <v>318</v>
      </c>
      <c r="F22" s="2">
        <f t="shared" si="1"/>
        <v>33385.041653613604</v>
      </c>
    </row>
    <row r="23" spans="1:6" x14ac:dyDescent="0.6">
      <c r="A23" t="s">
        <v>22</v>
      </c>
      <c r="B23" s="1">
        <v>14287836</v>
      </c>
      <c r="C23">
        <v>54</v>
      </c>
      <c r="D23">
        <v>10</v>
      </c>
      <c r="E23">
        <f t="shared" si="0"/>
        <v>372</v>
      </c>
      <c r="F23" s="2">
        <f t="shared" si="1"/>
        <v>39054.19967026497</v>
      </c>
    </row>
    <row r="24" spans="1:6" x14ac:dyDescent="0.6">
      <c r="A24" t="s">
        <v>23</v>
      </c>
      <c r="B24" s="1">
        <v>14287836</v>
      </c>
      <c r="C24">
        <v>47</v>
      </c>
      <c r="D24">
        <v>52</v>
      </c>
      <c r="E24">
        <f t="shared" si="0"/>
        <v>202</v>
      </c>
      <c r="F24" s="2">
        <f t="shared" si="1"/>
        <v>21206.850358584743</v>
      </c>
    </row>
    <row r="25" spans="1:6" x14ac:dyDescent="0.6">
      <c r="B25" s="1"/>
      <c r="F25" s="2"/>
    </row>
    <row r="26" spans="1:6" x14ac:dyDescent="0.6">
      <c r="B26" s="1"/>
      <c r="F26" s="2"/>
    </row>
    <row r="27" spans="1:6" x14ac:dyDescent="0.6">
      <c r="B27" s="1"/>
      <c r="F27" s="2"/>
    </row>
    <row r="28" spans="1:6" x14ac:dyDescent="0.6">
      <c r="B28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이엔에프테크놀로지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2026-05-06T23:20:18Z</dcterms:modified>
</cp:coreProperties>
</file>