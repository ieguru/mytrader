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0. JupyterNotebook\Finance\"/>
    </mc:Choice>
  </mc:AlternateContent>
  <xr:revisionPtr revIDLastSave="0" documentId="13_ncr:1_{94D735FE-CBDE-4C81-947A-AEDD5E8E8406}" xr6:coauthVersionLast="47" xr6:coauthVersionMax="47" xr10:uidLastSave="{00000000-0000-0000-0000-000000000000}"/>
  <bookViews>
    <workbookView xWindow="28702" yWindow="-98" windowWidth="28995" windowHeight="16395" xr2:uid="{EB6A6893-F42F-478A-85BA-AF7698723A96}"/>
  </bookViews>
  <sheets>
    <sheet name="일진전기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E3" i="1"/>
  <c r="E2" i="1"/>
  <c r="F2" i="1" s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4" i="1"/>
</calcChain>
</file>

<file path=xl/sharedStrings.xml><?xml version="1.0" encoding="utf-8"?>
<sst xmlns="http://schemas.openxmlformats.org/spreadsheetml/2006/main" count="32" uniqueCount="32">
  <si>
    <t>분기</t>
  </si>
  <si>
    <t>영업이익</t>
  </si>
  <si>
    <t>순이익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</si>
  <si>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</si>
  <si>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</si>
  <si>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</si>
  <si>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</si>
  <si>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</si>
  <si>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</si>
  <si>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</si>
  <si>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</si>
  <si>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</si>
  <si>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</si>
  <si>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</si>
  <si>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</si>
  <si>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</si>
  <si>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</si>
  <si>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</si>
  <si>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</si>
  <si>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2021.1Q</t>
  </si>
  <si>
    <t>2020.4Q</t>
  </si>
  <si>
    <t>2020.3Q</t>
  </si>
  <si>
    <t>2020.2Q</t>
  </si>
  <si>
    <t>2020.1Q</t>
  </si>
  <si>
    <t>4Q_income</t>
  </si>
  <si>
    <t>목표가</t>
  </si>
  <si>
    <t>상장주식수</t>
    <phoneticPr fontId="18" type="noConversion"/>
  </si>
  <si>
    <t>2025.2Q</t>
  </si>
  <si>
    <t>2025.4Q</t>
    <phoneticPr fontId="18" type="noConversion"/>
  </si>
  <si>
    <t>2025.3Q</t>
    <phoneticPr fontId="18" type="noConversion"/>
  </si>
  <si>
    <t>2026.2Q</t>
    <phoneticPr fontId="18" type="noConversion"/>
  </si>
  <si>
    <t>2026.1Q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</si>
</sst>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1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FD6D-57A9-431E-B100-3184AB0DC5C3}">
  <dimension ref="A1:F27"/>
  <sheetViews>
    <sheetView tabSelected="1" workbookViewId="0">
      <selection activeCell="F2" sqref="F2"/>
    </sheetView>
  </sheetViews>
  <sheetFormatPr defaultRowHeight="16.899999999999999" x14ac:dyDescent="0.6"/>
  <cols>
    <col min="2" max="2" width="10.25" bestFit="1" customWidth="1"/>
  </cols>
  <sheetData>
    <row r="1" spans="1:6" x14ac:dyDescent="0.6">
      <c r="A1" t="s">
        <v>0</v>
      </c>
      <c r="B1" t="s">
        <v>26</v>
      </c>
      <c r="C1" t="s">
        <v>1</v>
      </c>
      <c r="D1" t="s">
        <v>2</v>
      </c>
      <c r="E1" t="s">
        <v>24</v>
      </c>
      <c r="F1" t="s">
        <v>25</v>
      </c>
    </row>
    <row r="2" spans="1:6" x14ac:dyDescent="0.6">
      <c r="A2" t="s">
        <v>30</v>
      </c>
      <c r="B2" s="1">
        <v>96614259</v>
      </c>
      <c r="C2">
        <v>445</v>
      </c>
      <c r="D2">
        <v>270</v>
      </c>
      <c r="E2">
        <f>SUM(C2:C3)*2</f>
        <v>1744</v>
      </c>
      <c r="F2" s="2">
        <f>E2*100000000/B2*15</f>
        <v>27076.748578074796</v>
      </c>
    </row>
    <row r="3" spans="1:6" x14ac:dyDescent="0.6">
      <c r="A3" t="s">
        <v>31</v>
      </c>
      <c r="B3" s="1">
        <v>96614259</v>
      </c>
      <c r="C3">
        <v>427</v>
      </c>
      <c r="D3">
        <v>309</v>
      </c>
      <c r="E3">
        <f t="shared" ref="E3" si="0">SUM(C3:C4)*2</f>
        <v>1636</v>
      </c>
      <c r="F3" s="2">
        <f t="shared" ref="F3:F25" si="1">E3*100000000/B3*15</f>
        <v>25399.977450533468</v>
      </c>
    </row>
    <row r="4" spans="1:6" x14ac:dyDescent="0.6">
      <c r="A4" t="s">
        <v>28</v>
      </c>
      <c r="B4" s="1">
        <v>96614259</v>
      </c>
      <c r="C4">
        <v>391</v>
      </c>
      <c r="D4">
        <v>257</v>
      </c>
      <c r="E4">
        <f>SUM(C4:C5)*2</f>
        <v>1488</v>
      </c>
      <c r="F4" s="2">
        <f t="shared" si="1"/>
        <v>23102.179979458313</v>
      </c>
    </row>
    <row r="5" spans="1:6" x14ac:dyDescent="0.6">
      <c r="A5" t="s">
        <v>29</v>
      </c>
      <c r="B5" s="1">
        <v>96614259</v>
      </c>
      <c r="C5">
        <v>353</v>
      </c>
      <c r="D5">
        <v>275</v>
      </c>
      <c r="E5">
        <f t="shared" ref="E5:E25" si="2">SUM(C5:C6)*2</f>
        <v>1458</v>
      </c>
      <c r="F5" s="2">
        <f t="shared" si="1"/>
        <v>22636.410221807942</v>
      </c>
    </row>
    <row r="6" spans="1:6" x14ac:dyDescent="0.6">
      <c r="A6" t="s">
        <v>27</v>
      </c>
      <c r="B6" s="1">
        <v>96614259</v>
      </c>
      <c r="C6">
        <v>376</v>
      </c>
      <c r="D6">
        <v>262</v>
      </c>
      <c r="E6">
        <f t="shared" si="2"/>
        <v>1432</v>
      </c>
      <c r="F6" s="2">
        <f t="shared" si="1"/>
        <v>22232.743098510953</v>
      </c>
    </row>
    <row r="7" spans="1:6" x14ac:dyDescent="0.6">
      <c r="A7" t="s">
        <v>3</v>
      </c>
      <c r="B7" s="1">
        <v>96614259</v>
      </c>
      <c r="C7">
        <v>340</v>
      </c>
      <c r="D7">
        <v>229</v>
      </c>
      <c r="E7">
        <f t="shared" si="2"/>
        <v>1096</v>
      </c>
      <c r="F7" s="2">
        <f t="shared" si="1"/>
        <v>17016.121812826819</v>
      </c>
    </row>
    <row r="8" spans="1:6" x14ac:dyDescent="0.6">
      <c r="A8" t="s">
        <v>4</v>
      </c>
      <c r="B8" s="1">
        <v>96614259</v>
      </c>
      <c r="C8">
        <v>208</v>
      </c>
      <c r="D8">
        <v>80</v>
      </c>
      <c r="E8">
        <f t="shared" si="2"/>
        <v>710</v>
      </c>
      <c r="F8" s="2">
        <f t="shared" si="1"/>
        <v>11023.217597725405</v>
      </c>
    </row>
    <row r="9" spans="1:6" x14ac:dyDescent="0.6">
      <c r="A9" t="s">
        <v>5</v>
      </c>
      <c r="B9" s="1">
        <v>96614259</v>
      </c>
      <c r="C9">
        <v>147</v>
      </c>
      <c r="D9">
        <v>77</v>
      </c>
      <c r="E9">
        <f t="shared" si="2"/>
        <v>784</v>
      </c>
      <c r="F9" s="2">
        <f t="shared" si="1"/>
        <v>12172.11633326298</v>
      </c>
    </row>
    <row r="10" spans="1:6" x14ac:dyDescent="0.6">
      <c r="A10" t="s">
        <v>6</v>
      </c>
      <c r="B10" s="1">
        <v>96614259</v>
      </c>
      <c r="C10">
        <v>245</v>
      </c>
      <c r="D10">
        <v>166</v>
      </c>
      <c r="E10">
        <f t="shared" si="2"/>
        <v>856</v>
      </c>
      <c r="F10" s="2">
        <f t="shared" si="1"/>
        <v>13289.963751623867</v>
      </c>
    </row>
    <row r="11" spans="1:6" x14ac:dyDescent="0.6">
      <c r="A11" t="s">
        <v>7</v>
      </c>
      <c r="B11" s="1">
        <v>96614259</v>
      </c>
      <c r="C11">
        <v>183</v>
      </c>
      <c r="D11">
        <v>126</v>
      </c>
      <c r="E11">
        <f t="shared" si="2"/>
        <v>662</v>
      </c>
      <c r="F11" s="2">
        <f t="shared" si="1"/>
        <v>10277.985985484813</v>
      </c>
    </row>
    <row r="12" spans="1:6" x14ac:dyDescent="0.6">
      <c r="A12" t="s">
        <v>8</v>
      </c>
      <c r="B12" s="1">
        <v>96614259</v>
      </c>
      <c r="C12">
        <v>148</v>
      </c>
      <c r="D12">
        <v>29</v>
      </c>
      <c r="E12">
        <f t="shared" si="2"/>
        <v>612</v>
      </c>
      <c r="F12" s="2">
        <f t="shared" si="1"/>
        <v>9501.7030560675303</v>
      </c>
    </row>
    <row r="13" spans="1:6" x14ac:dyDescent="0.6">
      <c r="A13" t="s">
        <v>9</v>
      </c>
      <c r="B13" s="1">
        <v>96614259</v>
      </c>
      <c r="C13">
        <v>158</v>
      </c>
      <c r="D13">
        <v>133</v>
      </c>
      <c r="E13">
        <f t="shared" si="2"/>
        <v>576</v>
      </c>
      <c r="F13" s="2">
        <f t="shared" si="1"/>
        <v>8942.7793468870877</v>
      </c>
    </row>
    <row r="14" spans="1:6" x14ac:dyDescent="0.6">
      <c r="A14" t="s">
        <v>10</v>
      </c>
      <c r="B14" s="1">
        <v>96614259</v>
      </c>
      <c r="C14">
        <v>130</v>
      </c>
      <c r="D14">
        <v>73</v>
      </c>
      <c r="E14">
        <f t="shared" si="2"/>
        <v>602</v>
      </c>
      <c r="F14" s="2">
        <f t="shared" si="1"/>
        <v>9346.4464701840752</v>
      </c>
    </row>
    <row r="15" spans="1:6" x14ac:dyDescent="0.6">
      <c r="A15" t="s">
        <v>11</v>
      </c>
      <c r="B15" s="1">
        <v>96614259</v>
      </c>
      <c r="C15">
        <v>171</v>
      </c>
      <c r="D15" s="1">
        <v>110</v>
      </c>
      <c r="E15">
        <f t="shared" si="2"/>
        <v>532</v>
      </c>
      <c r="F15" s="2">
        <f t="shared" si="1"/>
        <v>8259.650368999879</v>
      </c>
    </row>
    <row r="16" spans="1:6" x14ac:dyDescent="0.6">
      <c r="A16" t="s">
        <v>12</v>
      </c>
      <c r="B16" s="1">
        <v>96614259</v>
      </c>
      <c r="C16">
        <v>95</v>
      </c>
      <c r="D16">
        <v>87</v>
      </c>
      <c r="E16">
        <f t="shared" si="2"/>
        <v>360</v>
      </c>
      <c r="F16" s="2">
        <f t="shared" si="1"/>
        <v>5589.2370918044307</v>
      </c>
    </row>
    <row r="17" spans="1:6" x14ac:dyDescent="0.6">
      <c r="A17" t="s">
        <v>13</v>
      </c>
      <c r="B17" s="1">
        <v>96614259</v>
      </c>
      <c r="C17">
        <v>85</v>
      </c>
      <c r="D17">
        <v>22</v>
      </c>
      <c r="E17">
        <f t="shared" si="2"/>
        <v>244</v>
      </c>
      <c r="F17" s="2">
        <f t="shared" si="1"/>
        <v>3788.260695556336</v>
      </c>
    </row>
    <row r="18" spans="1:6" x14ac:dyDescent="0.6">
      <c r="A18" t="s">
        <v>14</v>
      </c>
      <c r="B18" s="1">
        <v>96614259</v>
      </c>
      <c r="C18">
        <v>37</v>
      </c>
      <c r="D18">
        <v>20</v>
      </c>
      <c r="E18">
        <f t="shared" si="2"/>
        <v>270</v>
      </c>
      <c r="F18" s="2">
        <f t="shared" si="1"/>
        <v>4191.9278188533226</v>
      </c>
    </row>
    <row r="19" spans="1:6" x14ac:dyDescent="0.6">
      <c r="A19" t="s">
        <v>15</v>
      </c>
      <c r="B19" s="1">
        <v>96614259</v>
      </c>
      <c r="C19">
        <v>98</v>
      </c>
      <c r="D19">
        <v>113</v>
      </c>
      <c r="E19">
        <f t="shared" si="2"/>
        <v>256</v>
      </c>
      <c r="F19" s="2">
        <f t="shared" si="1"/>
        <v>3974.568598616484</v>
      </c>
    </row>
    <row r="20" spans="1:6" x14ac:dyDescent="0.6">
      <c r="A20" t="s">
        <v>16</v>
      </c>
      <c r="B20" s="1">
        <v>96614259</v>
      </c>
      <c r="C20">
        <v>30</v>
      </c>
      <c r="D20">
        <v>8</v>
      </c>
      <c r="E20">
        <f t="shared" si="2"/>
        <v>134</v>
      </c>
      <c r="F20" s="2">
        <f t="shared" si="1"/>
        <v>2080.438250838316</v>
      </c>
    </row>
    <row r="21" spans="1:6" x14ac:dyDescent="0.6">
      <c r="A21" t="s">
        <v>17</v>
      </c>
      <c r="B21" s="1">
        <v>96614259</v>
      </c>
      <c r="C21">
        <v>37</v>
      </c>
      <c r="D21">
        <v>42</v>
      </c>
      <c r="E21">
        <f t="shared" si="2"/>
        <v>180</v>
      </c>
      <c r="F21" s="2">
        <f t="shared" si="1"/>
        <v>2794.6185459022154</v>
      </c>
    </row>
    <row r="22" spans="1:6" x14ac:dyDescent="0.6">
      <c r="A22" t="s">
        <v>18</v>
      </c>
      <c r="B22" s="1">
        <v>96614259</v>
      </c>
      <c r="C22">
        <v>53</v>
      </c>
      <c r="D22">
        <v>21</v>
      </c>
      <c r="E22">
        <f t="shared" si="2"/>
        <v>276</v>
      </c>
      <c r="F22" s="2">
        <f t="shared" si="1"/>
        <v>4285.0817703833964</v>
      </c>
    </row>
    <row r="23" spans="1:6" x14ac:dyDescent="0.6">
      <c r="A23" t="s">
        <v>19</v>
      </c>
      <c r="B23" s="1">
        <v>96614259</v>
      </c>
      <c r="C23">
        <v>85</v>
      </c>
      <c r="D23">
        <v>79</v>
      </c>
      <c r="E23">
        <f t="shared" si="2"/>
        <v>232</v>
      </c>
      <c r="F23" s="2">
        <f t="shared" si="1"/>
        <v>3601.9527924961885</v>
      </c>
    </row>
    <row r="24" spans="1:6" x14ac:dyDescent="0.6">
      <c r="A24" t="s">
        <v>20</v>
      </c>
      <c r="B24" s="1">
        <v>96614259</v>
      </c>
      <c r="C24">
        <v>31</v>
      </c>
      <c r="D24">
        <v>8</v>
      </c>
      <c r="E24">
        <f t="shared" si="2"/>
        <v>150</v>
      </c>
      <c r="F24" s="2">
        <f t="shared" si="1"/>
        <v>2328.8487882518457</v>
      </c>
    </row>
    <row r="25" spans="1:6" x14ac:dyDescent="0.6">
      <c r="A25" t="s">
        <v>21</v>
      </c>
      <c r="B25" s="1">
        <v>96614259</v>
      </c>
      <c r="C25">
        <v>44</v>
      </c>
      <c r="D25">
        <v>4</v>
      </c>
      <c r="E25">
        <f t="shared" si="2"/>
        <v>128</v>
      </c>
      <c r="F25" s="2">
        <f t="shared" si="1"/>
        <v>1987.284299308242</v>
      </c>
    </row>
    <row r="26" spans="1:6" x14ac:dyDescent="0.6">
      <c r="A26" t="s">
        <v>22</v>
      </c>
      <c r="B26" s="1">
        <v>96614259</v>
      </c>
      <c r="C26">
        <v>20</v>
      </c>
      <c r="D26">
        <v>-7</v>
      </c>
      <c r="F26" s="2"/>
    </row>
    <row r="27" spans="1:6" x14ac:dyDescent="0.6">
      <c r="A27" t="s">
        <v>23</v>
      </c>
      <c r="B27" s="1">
        <v>96614259</v>
      </c>
      <c r="C27">
        <v>43</v>
      </c>
      <c r="D27">
        <v>43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일진전기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ieguru</cp:lastModifiedBy>
  <dcterms:created xsi:type="dcterms:W3CDTF">2025-01-28T10:57:12Z</dcterms:created>
  <dcterms:modified xsi:type="dcterms:W3CDTF">2026-01-28T14:08:47Z</dcterms:modified>
</cp:coreProperties>
</file>