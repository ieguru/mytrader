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내 드라이브\Colab Notebooks\FIN\"/>
    </mc:Choice>
  </mc:AlternateContent>
  <xr:revisionPtr revIDLastSave="0" documentId="13_ncr:1_{D61628CB-148E-4F95-A0A8-E4CBE5766985}" xr6:coauthVersionLast="47" xr6:coauthVersionMax="47" xr10:uidLastSave="{00000000-0000-0000-0000-000000000000}"/>
  <bookViews>
    <workbookView xWindow="19110" yWindow="0" windowWidth="19380" windowHeight="20970" xr2:uid="{574589F6-5CF4-430A-9C77-3C46C2002903}"/>
  </bookViews>
  <sheets>
    <sheet name="와이지엔터테인먼트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<sst xmlns="http://schemas.openxmlformats.org/spreadsheetml/2006/main" count="30" uniqueCount="30">
  <si>
    <t>분기</t>
  </si>
  <si>
    <t>영업이익</t>
  </si>
  <si>
    <t>순이익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</si>
  <si>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</si>
  <si>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</si>
  <si>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</si>
  <si>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</si>
  <si>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</si>
  <si>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</si>
  <si>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</si>
  <si>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</si>
  <si>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</si>
  <si>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</si>
  <si>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</si>
  <si>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</si>
  <si>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</si>
  <si>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</si>
  <si>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</si>
  <si>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</si>
  <si>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</si>
  <si>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</si>
  <si>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2025.2Q</t>
    <phoneticPr fontId="18" type="noConversion"/>
  </si>
  <si>
    <t>4Q_income</t>
  </si>
  <si>
    <t>목표가</t>
  </si>
  <si>
    <t>상장주식수</t>
  </si>
  <si>
    <t>2020.3Q</t>
    <phoneticPr fontId="18" type="noConversion"/>
  </si>
  <si>
    <t>2020.2Q</t>
    <phoneticPr fontId="18" type="noConversion"/>
  </si>
  <si>
    <t>2020.1Q</t>
    <phoneticPr fontId="18" type="noConversion"/>
  </si>
  <si>
    <t>2025.3Q</t>
    <phoneticPr fontId="18" type="noConversion"/>
  </si>
  <si>
    <t>2025.4Q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</si>
</sst>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3" fontId="0" fillId="0" borderId="0" xfId="0" applyNumberFormat="1">
      <alignment vertical="center"/>
    </xf>
    <xf numFmtId="1" fontId="0" fillId="0" borderId="0" xfId="0" applyNumberFormat="1">
      <alignment vertical="center"/>
    </xf>
    <xf numFmtId="0" fontId="0" fillId="33" borderId="0" xfId="0" applyFill="1">
      <alignment vertical="center"/>
    </xf>
    <xf numFmtId="41" fontId="0" fillId="0" borderId="0" xfId="42" applyFont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70C4F-4979-4347-A0AE-4803346AD117}">
  <dimension ref="A1:F25"/>
  <sheetViews>
    <sheetView tabSelected="1" workbookViewId="0">
      <selection activeCell="F13" sqref="A13:F14"/>
    </sheetView>
  </sheetViews>
  <sheetFormatPr defaultRowHeight="17" x14ac:dyDescent="0.45"/>
  <cols>
    <col min="2" max="2" width="10.25" bestFit="1" customWidth="1"/>
    <col min="5" max="5" width="12.83203125" customWidth="1"/>
    <col min="6" max="6" width="11.6640625" customWidth="1"/>
  </cols>
  <sheetData>
    <row r="1" spans="1:6" x14ac:dyDescent="0.45">
      <c r="A1" t="s">
        <v>0</v>
      </c>
      <c r="B1" t="s">
        <v>24</v>
      </c>
      <c r="C1" t="s">
        <v>1</v>
      </c>
      <c r="D1" t="s">
        <v>2</v>
      </c>
      <c r="E1" t="s">
        <v>22</v>
      </c>
      <c r="F1" t="s">
        <v>23</v>
      </c>
    </row>
    <row r="2" spans="1:6" x14ac:dyDescent="0.45">
      <c r="A2" t="s">
        <v>29</v>
      </c>
      <c r="B2" s="1">
        <v>18691049</v>
      </c>
      <c r="C2" s="3">
        <v>284</v>
      </c>
      <c r="D2" s="3">
        <v>247</v>
      </c>
      <c r="E2">
        <f>C2*4</f>
        <v>1136</v>
      </c>
      <c r="F2" s="4">
        <f>E2*100000000/B2*18</f>
        <v>109399.95930672484</v>
      </c>
    </row>
    <row r="3" spans="1:6" x14ac:dyDescent="0.45">
      <c r="A3" t="s">
        <v>28</v>
      </c>
      <c r="B3" s="1">
        <v>18691049</v>
      </c>
      <c r="C3" s="3">
        <v>270</v>
      </c>
      <c r="D3" s="3">
        <v>214</v>
      </c>
      <c r="E3">
        <f>C3*2+C2*2</f>
        <v>1108</v>
      </c>
      <c r="F3" s="4">
        <f t="shared" ref="F3:F22" si="0">E3*100000000/B3*18</f>
        <v>106703.48143648867</v>
      </c>
    </row>
    <row r="4" spans="1:6" x14ac:dyDescent="0.45">
      <c r="A4" t="s">
        <v>21</v>
      </c>
      <c r="B4" s="1">
        <v>18691049</v>
      </c>
      <c r="C4">
        <v>34</v>
      </c>
      <c r="D4">
        <v>50</v>
      </c>
      <c r="E4">
        <f>C4+C3*2+C2</f>
        <v>858</v>
      </c>
      <c r="F4" s="4">
        <f t="shared" si="0"/>
        <v>82627.786166522797</v>
      </c>
    </row>
    <row r="5" spans="1:6" x14ac:dyDescent="0.45">
      <c r="A5" t="s">
        <v>3</v>
      </c>
      <c r="B5" s="1">
        <v>18691049</v>
      </c>
      <c r="C5">
        <v>53</v>
      </c>
      <c r="D5">
        <v>102</v>
      </c>
      <c r="E5">
        <f t="shared" ref="E5:E23" si="1">C5+C4*2+C3</f>
        <v>391</v>
      </c>
      <c r="F5" s="4">
        <f t="shared" si="0"/>
        <v>37654.387402226595</v>
      </c>
    </row>
    <row r="6" spans="1:6" x14ac:dyDescent="0.45">
      <c r="A6" t="s">
        <v>4</v>
      </c>
      <c r="B6" s="1">
        <v>18691049</v>
      </c>
      <c r="C6" s="1">
        <v>7</v>
      </c>
      <c r="D6" s="1">
        <v>209</v>
      </c>
      <c r="E6">
        <f t="shared" si="1"/>
        <v>147</v>
      </c>
      <c r="F6" s="4">
        <f t="shared" si="0"/>
        <v>14156.508818739923</v>
      </c>
    </row>
    <row r="7" spans="1:6" x14ac:dyDescent="0.45">
      <c r="A7" t="s">
        <v>5</v>
      </c>
      <c r="B7" s="1">
        <v>18691049</v>
      </c>
      <c r="C7" s="1">
        <v>-30</v>
      </c>
      <c r="D7" s="1">
        <v>-9</v>
      </c>
      <c r="E7">
        <f t="shared" si="1"/>
        <v>37</v>
      </c>
      <c r="F7" s="4">
        <f t="shared" si="0"/>
        <v>3563.2028999549461</v>
      </c>
    </row>
    <row r="8" spans="1:6" x14ac:dyDescent="0.45">
      <c r="A8" t="s">
        <v>6</v>
      </c>
      <c r="B8" s="1">
        <v>18691049</v>
      </c>
      <c r="C8" s="1">
        <v>-109</v>
      </c>
      <c r="D8" s="1">
        <v>-3</v>
      </c>
      <c r="E8">
        <f t="shared" si="1"/>
        <v>-162</v>
      </c>
      <c r="F8" s="4">
        <f t="shared" si="0"/>
        <v>-15601.050534937875</v>
      </c>
    </row>
    <row r="9" spans="1:6" x14ac:dyDescent="0.45">
      <c r="A9" t="s">
        <v>7</v>
      </c>
      <c r="B9" s="1">
        <v>18691049</v>
      </c>
      <c r="C9" s="1">
        <v>-54</v>
      </c>
      <c r="D9" s="1">
        <v>4</v>
      </c>
      <c r="E9">
        <f t="shared" si="1"/>
        <v>-302</v>
      </c>
      <c r="F9" s="4">
        <f t="shared" si="0"/>
        <v>-29083.439886118751</v>
      </c>
    </row>
    <row r="10" spans="1:6" x14ac:dyDescent="0.45">
      <c r="A10" t="s">
        <v>8</v>
      </c>
      <c r="B10" s="1">
        <v>18691049</v>
      </c>
      <c r="C10" s="1">
        <v>9</v>
      </c>
      <c r="D10" s="1">
        <v>37</v>
      </c>
      <c r="E10">
        <f t="shared" si="1"/>
        <v>-208</v>
      </c>
      <c r="F10" s="4">
        <f t="shared" si="0"/>
        <v>-20030.978464611588</v>
      </c>
    </row>
    <row r="11" spans="1:6" x14ac:dyDescent="0.45">
      <c r="A11" t="s">
        <v>9</v>
      </c>
      <c r="B11" s="1">
        <v>18691049</v>
      </c>
      <c r="C11" s="1">
        <v>201</v>
      </c>
      <c r="D11">
        <v>148</v>
      </c>
      <c r="E11">
        <f t="shared" si="1"/>
        <v>165</v>
      </c>
      <c r="F11" s="4">
        <f t="shared" si="0"/>
        <v>15889.958878177464</v>
      </c>
    </row>
    <row r="12" spans="1:6" x14ac:dyDescent="0.45">
      <c r="A12" t="s">
        <v>10</v>
      </c>
      <c r="B12" s="1">
        <v>18691049</v>
      </c>
      <c r="C12">
        <v>259</v>
      </c>
      <c r="D12" s="1">
        <v>272</v>
      </c>
      <c r="E12">
        <f t="shared" si="1"/>
        <v>670</v>
      </c>
      <c r="F12" s="4">
        <f t="shared" si="0"/>
        <v>64522.863323508485</v>
      </c>
    </row>
    <row r="13" spans="1:6" x14ac:dyDescent="0.45">
      <c r="A13" t="s">
        <v>11</v>
      </c>
      <c r="B13" s="1">
        <v>18691049</v>
      </c>
      <c r="C13">
        <v>326</v>
      </c>
      <c r="D13">
        <v>313</v>
      </c>
      <c r="E13">
        <f t="shared" si="1"/>
        <v>1045</v>
      </c>
      <c r="F13" s="4">
        <f t="shared" si="0"/>
        <v>100636.40622845727</v>
      </c>
    </row>
    <row r="14" spans="1:6" x14ac:dyDescent="0.45">
      <c r="A14" t="s">
        <v>12</v>
      </c>
      <c r="B14" s="1">
        <v>18691049</v>
      </c>
      <c r="C14">
        <v>175</v>
      </c>
      <c r="D14" s="1">
        <v>170</v>
      </c>
      <c r="E14">
        <f t="shared" si="1"/>
        <v>1086</v>
      </c>
      <c r="F14" s="4">
        <f t="shared" si="0"/>
        <v>104584.82025273168</v>
      </c>
    </row>
    <row r="15" spans="1:6" x14ac:dyDescent="0.45">
      <c r="A15" t="s">
        <v>13</v>
      </c>
      <c r="B15" s="1">
        <v>18691049</v>
      </c>
      <c r="C15" s="1">
        <v>148</v>
      </c>
      <c r="D15" s="1">
        <v>154</v>
      </c>
      <c r="E15">
        <f t="shared" si="1"/>
        <v>824</v>
      </c>
      <c r="F15" s="4">
        <f t="shared" si="0"/>
        <v>79353.491609807446</v>
      </c>
    </row>
    <row r="16" spans="1:6" x14ac:dyDescent="0.45">
      <c r="A16" t="s">
        <v>14</v>
      </c>
      <c r="B16" s="1">
        <v>18691049</v>
      </c>
      <c r="C16" s="1">
        <v>86</v>
      </c>
      <c r="D16" s="1">
        <v>86</v>
      </c>
      <c r="E16">
        <f t="shared" si="1"/>
        <v>557</v>
      </c>
      <c r="F16" s="4">
        <f t="shared" si="0"/>
        <v>53640.649061483928</v>
      </c>
    </row>
    <row r="17" spans="1:6" x14ac:dyDescent="0.45">
      <c r="A17" t="s">
        <v>15</v>
      </c>
      <c r="B17" s="1">
        <v>18691049</v>
      </c>
      <c r="C17" s="1">
        <v>17</v>
      </c>
      <c r="D17" s="1">
        <v>58</v>
      </c>
      <c r="E17">
        <f t="shared" si="1"/>
        <v>337</v>
      </c>
      <c r="F17" s="4">
        <f t="shared" si="0"/>
        <v>32454.037223913972</v>
      </c>
    </row>
    <row r="18" spans="1:6" x14ac:dyDescent="0.45">
      <c r="A18" t="s">
        <v>16</v>
      </c>
      <c r="B18" s="1">
        <v>18691049</v>
      </c>
      <c r="C18" s="1">
        <v>-8</v>
      </c>
      <c r="D18" s="1">
        <v>152</v>
      </c>
      <c r="E18">
        <f t="shared" si="1"/>
        <v>112</v>
      </c>
      <c r="F18" s="4">
        <f t="shared" si="0"/>
        <v>10785.911480944702</v>
      </c>
    </row>
    <row r="19" spans="1:6" x14ac:dyDescent="0.45">
      <c r="A19" t="s">
        <v>17</v>
      </c>
      <c r="B19" s="1">
        <v>18691049</v>
      </c>
      <c r="C19" s="1">
        <v>93</v>
      </c>
      <c r="D19" s="1">
        <v>6</v>
      </c>
      <c r="E19">
        <f t="shared" si="1"/>
        <v>94</v>
      </c>
      <c r="F19" s="4">
        <f t="shared" si="0"/>
        <v>9052.4614215071615</v>
      </c>
    </row>
    <row r="20" spans="1:6" x14ac:dyDescent="0.45">
      <c r="A20" t="s">
        <v>18</v>
      </c>
      <c r="B20" s="1">
        <v>18691049</v>
      </c>
      <c r="C20" s="1">
        <v>91</v>
      </c>
      <c r="D20" s="1">
        <v>-16</v>
      </c>
      <c r="E20">
        <f t="shared" si="1"/>
        <v>269</v>
      </c>
      <c r="F20" s="4">
        <f t="shared" si="0"/>
        <v>25905.448110483259</v>
      </c>
    </row>
    <row r="21" spans="1:6" x14ac:dyDescent="0.45">
      <c r="A21" t="s">
        <v>19</v>
      </c>
      <c r="B21" s="1">
        <v>18691049</v>
      </c>
      <c r="C21" s="1">
        <v>78</v>
      </c>
      <c r="D21" s="1">
        <v>87</v>
      </c>
      <c r="E21">
        <f t="shared" si="1"/>
        <v>353</v>
      </c>
      <c r="F21" s="4">
        <f t="shared" si="0"/>
        <v>33994.881721191785</v>
      </c>
    </row>
    <row r="22" spans="1:6" x14ac:dyDescent="0.45">
      <c r="A22" t="s">
        <v>20</v>
      </c>
      <c r="B22" s="1">
        <v>18691049</v>
      </c>
      <c r="C22">
        <v>54</v>
      </c>
      <c r="D22">
        <v>29</v>
      </c>
      <c r="E22">
        <f t="shared" si="1"/>
        <v>301</v>
      </c>
      <c r="F22" s="4">
        <f t="shared" si="0"/>
        <v>28987.137105038888</v>
      </c>
    </row>
    <row r="23" spans="1:6" x14ac:dyDescent="0.45">
      <c r="A23" t="s">
        <v>25</v>
      </c>
      <c r="B23" s="1">
        <v>18691049</v>
      </c>
      <c r="C23" s="1">
        <v>17</v>
      </c>
      <c r="D23" s="1">
        <v>16</v>
      </c>
      <c r="E23">
        <f t="shared" si="1"/>
        <v>203</v>
      </c>
      <c r="F23" s="2"/>
    </row>
    <row r="24" spans="1:6" x14ac:dyDescent="0.45">
      <c r="A24" t="s">
        <v>26</v>
      </c>
      <c r="B24" s="1">
        <v>18691049</v>
      </c>
      <c r="C24">
        <v>15</v>
      </c>
      <c r="D24">
        <v>75</v>
      </c>
      <c r="F24" s="2"/>
    </row>
    <row r="25" spans="1:6" x14ac:dyDescent="0.45">
      <c r="A25" t="s">
        <v>27</v>
      </c>
      <c r="B25" s="1">
        <v>18691049</v>
      </c>
      <c r="C25">
        <v>-25</v>
      </c>
      <c r="D25">
        <v>-89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와이지엔터테인먼트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2025-01-31T15:13:54Z</dcterms:created>
  <dcterms:modified xsi:type="dcterms:W3CDTF">2025-07-20T14:51:19Z</dcterms:modified>
</cp:coreProperties>
</file>