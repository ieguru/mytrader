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F9DC2737-A312-425E-8F2B-EE538E6FCB68}" xr6:coauthVersionLast="47" xr6:coauthVersionMax="47" xr10:uidLastSave="{00000000-0000-0000-0000-000000000000}"/>
  <bookViews>
    <workbookView xWindow="28702" yWindow="-98" windowWidth="28995" windowHeight="16395" xr2:uid="{20458A90-AA7A-468A-9564-B848874231C8}"/>
  </bookViews>
  <sheets>
    <sheet name="미스토홀딩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E3" i="1"/>
  <c r="E2" i="1"/>
</calcChain>
</file>

<file path=xl/sharedStrings.xml><?xml version="1.0" encoding="utf-8"?>
<sst xmlns="http://schemas.openxmlformats.org/spreadsheetml/2006/main" count="30" uniqueCount="29">
  <si>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</si>
  <si>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</si>
  <si>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</si>
  <si>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</si>
  <si>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</si>
  <si>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</si>
  <si>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</si>
  <si>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</si>
  <si>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</si>
  <si>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</si>
  <si>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</si>
  <si>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</si>
  <si>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</si>
  <si>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</si>
  <si>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</si>
  <si>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</si>
  <si>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</si>
  <si>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</si>
  <si>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</si>
  <si>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상장주식수</t>
  </si>
  <si>
    <t>4Q_income</t>
  </si>
  <si>
    <t>목표가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</si>
  <si>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</si>
  <si>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</si>
  <si>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</si>
  <si>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</si>
  <si>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</si>
  <si>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2026.3Q</t>
    <phoneticPr fontId="18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</si>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</sst>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41" fontId="0" fillId="0" borderId="0" xfId="42" applyFont="1">
      <alignment vertical="center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BC56-B3C1-4C59-982B-8C86BC734C74}">
  <dimension ref="A1:F28"/>
  <sheetViews>
    <sheetView tabSelected="1" workbookViewId="0">
      <selection activeCell="F32" sqref="F32"/>
    </sheetView>
  </sheetViews>
  <sheetFormatPr defaultRowHeight="16.899999999999999" x14ac:dyDescent="0.6"/>
  <cols>
    <col min="2" max="2" width="11.375" bestFit="1" customWidth="1"/>
    <col min="6" max="6" width="11.1875" customWidth="1"/>
  </cols>
  <sheetData>
    <row r="1" spans="1:6" x14ac:dyDescent="0.6">
      <c r="A1" t="s">
        <v>0</v>
      </c>
      <c r="B1" t="s">
        <v>19</v>
      </c>
      <c r="C1" t="s">
        <v>1</v>
      </c>
      <c r="D1" t="s">
        <v>2</v>
      </c>
      <c r="E1" t="s">
        <v>20</v>
      </c>
      <c r="F1" t="s">
        <v>21</v>
      </c>
    </row>
    <row r="2" spans="1:6" x14ac:dyDescent="0.6">
      <c r="A2" s="3" t="s">
        <v>27</v>
      </c>
      <c r="B2" s="1">
        <v>53091840</v>
      </c>
      <c r="C2" s="6">
        <v>1500.5</v>
      </c>
      <c r="D2">
        <v>656</v>
      </c>
      <c r="E2" s="5">
        <f>(C2*2+C3*2)</f>
        <v>7079</v>
      </c>
      <c r="F2" s="5">
        <f>E2*100000000/B2*10</f>
        <v>133334.99083851679</v>
      </c>
    </row>
    <row r="3" spans="1:6" x14ac:dyDescent="0.6">
      <c r="A3" s="3" t="s">
        <v>22</v>
      </c>
      <c r="B3" s="1">
        <v>53091840</v>
      </c>
      <c r="C3" s="1">
        <v>2039</v>
      </c>
      <c r="D3" t="s">
        <v>28</v>
      </c>
      <c r="E3" s="5">
        <f>(C3*2+C2*2)</f>
        <v>7079</v>
      </c>
      <c r="F3" s="5">
        <f t="shared" ref="F3:F23" si="0">E3*100000000/B3*10</f>
        <v>133334.99083851679</v>
      </c>
    </row>
    <row r="4" spans="1:6" x14ac:dyDescent="0.6">
      <c r="A4" s="3" t="s">
        <v>23</v>
      </c>
      <c r="B4" s="1">
        <v>53091840</v>
      </c>
      <c r="C4" s="1">
        <v>1898</v>
      </c>
      <c r="D4" s="1" t="s">
        <v>28</v>
      </c>
      <c r="E4" s="5">
        <f>(C4+C3*2+C2)</f>
        <v>7476.5</v>
      </c>
      <c r="F4" s="5">
        <f t="shared" si="0"/>
        <v>140822.01709339893</v>
      </c>
    </row>
    <row r="5" spans="1:6" x14ac:dyDescent="0.6">
      <c r="A5" s="4" t="s">
        <v>24</v>
      </c>
      <c r="B5" s="1">
        <v>53091840</v>
      </c>
      <c r="C5" s="1">
        <v>-16</v>
      </c>
      <c r="D5" s="1">
        <v>-439</v>
      </c>
      <c r="E5" s="5">
        <f t="shared" ref="E5:E23" si="1">(C5+C4*2+C3)</f>
        <v>5819</v>
      </c>
      <c r="F5" s="5">
        <f t="shared" si="0"/>
        <v>109602.5302570037</v>
      </c>
    </row>
    <row r="6" spans="1:6" x14ac:dyDescent="0.6">
      <c r="A6" s="3" t="s">
        <v>25</v>
      </c>
      <c r="B6" s="1">
        <v>53091840</v>
      </c>
      <c r="C6" s="1">
        <v>1319</v>
      </c>
      <c r="D6" s="1">
        <v>1019</v>
      </c>
      <c r="E6" s="5">
        <f t="shared" si="1"/>
        <v>3185</v>
      </c>
      <c r="F6" s="5">
        <f t="shared" si="0"/>
        <v>59990.386469935867</v>
      </c>
    </row>
    <row r="7" spans="1:6" x14ac:dyDescent="0.6">
      <c r="A7" s="3" t="s">
        <v>26</v>
      </c>
      <c r="B7" s="1">
        <v>53091840</v>
      </c>
      <c r="C7" s="1">
        <v>1819</v>
      </c>
      <c r="D7" s="1">
        <v>1392</v>
      </c>
      <c r="E7" s="5">
        <f t="shared" si="1"/>
        <v>4441</v>
      </c>
      <c r="F7" s="5">
        <f t="shared" si="0"/>
        <v>83647.505906745733</v>
      </c>
    </row>
    <row r="8" spans="1:6" x14ac:dyDescent="0.6">
      <c r="A8" s="3" t="s">
        <v>3</v>
      </c>
      <c r="B8" s="1">
        <v>53091840</v>
      </c>
      <c r="C8" s="1">
        <v>1627</v>
      </c>
      <c r="D8" s="1">
        <v>1515</v>
      </c>
      <c r="E8" s="5">
        <f t="shared" si="1"/>
        <v>6584</v>
      </c>
      <c r="F8" s="5">
        <f t="shared" si="0"/>
        <v>124011.52418149381</v>
      </c>
    </row>
    <row r="9" spans="1:6" x14ac:dyDescent="0.6">
      <c r="A9" s="3" t="s">
        <v>4</v>
      </c>
      <c r="B9" s="1">
        <v>53091840</v>
      </c>
      <c r="C9" s="1">
        <v>-360</v>
      </c>
      <c r="D9" s="1">
        <v>-694</v>
      </c>
      <c r="E9" s="5">
        <f t="shared" si="1"/>
        <v>4713</v>
      </c>
      <c r="F9" s="5">
        <f t="shared" si="0"/>
        <v>88770.703746564453</v>
      </c>
    </row>
    <row r="10" spans="1:6" x14ac:dyDescent="0.6">
      <c r="A10" s="3" t="s">
        <v>5</v>
      </c>
      <c r="B10" s="1">
        <v>53091840</v>
      </c>
      <c r="C10" s="1">
        <v>934</v>
      </c>
      <c r="D10" s="1">
        <v>534</v>
      </c>
      <c r="E10" s="5">
        <f t="shared" si="1"/>
        <v>1841</v>
      </c>
      <c r="F10" s="5">
        <f t="shared" si="0"/>
        <v>34675.761849655239</v>
      </c>
    </row>
    <row r="11" spans="1:6" x14ac:dyDescent="0.6">
      <c r="A11" s="3" t="s">
        <v>6</v>
      </c>
      <c r="B11" s="1">
        <v>53091840</v>
      </c>
      <c r="C11" s="1">
        <v>1401</v>
      </c>
      <c r="D11" s="1">
        <v>1004</v>
      </c>
      <c r="E11" s="5">
        <f t="shared" si="1"/>
        <v>2909</v>
      </c>
      <c r="F11" s="5">
        <f t="shared" si="0"/>
        <v>54791.847485413957</v>
      </c>
    </row>
    <row r="12" spans="1:6" x14ac:dyDescent="0.6">
      <c r="A12" s="3" t="s">
        <v>7</v>
      </c>
      <c r="B12" s="1">
        <v>53091840</v>
      </c>
      <c r="C12" s="1">
        <v>1633</v>
      </c>
      <c r="D12" s="1">
        <v>1233</v>
      </c>
      <c r="E12" s="5">
        <f t="shared" si="1"/>
        <v>5369</v>
      </c>
      <c r="F12" s="5">
        <f t="shared" si="0"/>
        <v>101126.65147789189</v>
      </c>
    </row>
    <row r="13" spans="1:6" x14ac:dyDescent="0.6">
      <c r="A13" s="3" t="s">
        <v>8</v>
      </c>
      <c r="B13" s="1">
        <v>53091840</v>
      </c>
      <c r="C13" s="1">
        <v>-414</v>
      </c>
      <c r="D13" s="1">
        <v>-601</v>
      </c>
      <c r="E13" s="5">
        <f t="shared" si="1"/>
        <v>4253</v>
      </c>
      <c r="F13" s="5">
        <f t="shared" si="0"/>
        <v>80106.472105694585</v>
      </c>
    </row>
    <row r="14" spans="1:6" x14ac:dyDescent="0.6">
      <c r="A14" s="3" t="s">
        <v>9</v>
      </c>
      <c r="B14" s="1">
        <v>53091840</v>
      </c>
      <c r="C14" s="1">
        <v>926</v>
      </c>
      <c r="D14" s="1">
        <v>577</v>
      </c>
      <c r="E14" s="5">
        <f t="shared" si="1"/>
        <v>1731</v>
      </c>
      <c r="F14" s="5">
        <f t="shared" si="0"/>
        <v>32603.880370316794</v>
      </c>
    </row>
    <row r="15" spans="1:6" x14ac:dyDescent="0.6">
      <c r="A15" t="s">
        <v>10</v>
      </c>
      <c r="B15" s="1">
        <v>53091840</v>
      </c>
      <c r="C15" s="1">
        <v>919</v>
      </c>
      <c r="D15" s="1">
        <v>372</v>
      </c>
      <c r="E15" s="5">
        <f t="shared" si="1"/>
        <v>2357</v>
      </c>
      <c r="F15" s="5">
        <f t="shared" si="0"/>
        <v>44394.769516370128</v>
      </c>
    </row>
    <row r="16" spans="1:6" x14ac:dyDescent="0.6">
      <c r="A16" t="s">
        <v>11</v>
      </c>
      <c r="B16" s="1">
        <v>53091840</v>
      </c>
      <c r="C16" s="1">
        <v>1604</v>
      </c>
      <c r="D16" s="1">
        <v>1183</v>
      </c>
      <c r="E16" s="5">
        <f t="shared" si="1"/>
        <v>4368</v>
      </c>
      <c r="F16" s="5">
        <f t="shared" si="0"/>
        <v>82272.530015912052</v>
      </c>
    </row>
    <row r="17" spans="1:6" x14ac:dyDescent="0.6">
      <c r="A17" t="s">
        <v>12</v>
      </c>
      <c r="B17" s="1">
        <v>53091840</v>
      </c>
      <c r="C17" s="1">
        <v>-79</v>
      </c>
      <c r="D17" s="1">
        <v>1362</v>
      </c>
      <c r="E17" s="5">
        <f t="shared" si="1"/>
        <v>4048</v>
      </c>
      <c r="F17" s="5">
        <f t="shared" si="0"/>
        <v>76245.238439654757</v>
      </c>
    </row>
    <row r="18" spans="1:6" x14ac:dyDescent="0.6">
      <c r="A18" t="s">
        <v>13</v>
      </c>
      <c r="B18" s="1">
        <v>53091840</v>
      </c>
      <c r="C18" s="1">
        <v>1218</v>
      </c>
      <c r="D18" s="1">
        <v>938</v>
      </c>
      <c r="E18" s="5">
        <f t="shared" si="1"/>
        <v>2664</v>
      </c>
      <c r="F18" s="5">
        <f t="shared" si="0"/>
        <v>50177.202372341962</v>
      </c>
    </row>
    <row r="19" spans="1:6" x14ac:dyDescent="0.6">
      <c r="A19" t="s">
        <v>14</v>
      </c>
      <c r="B19" s="1">
        <v>53091840</v>
      </c>
      <c r="C19" s="1">
        <v>1524</v>
      </c>
      <c r="D19" s="1">
        <v>1144</v>
      </c>
      <c r="E19" s="5">
        <f t="shared" si="1"/>
        <v>3881</v>
      </c>
      <c r="F19" s="5">
        <f t="shared" si="0"/>
        <v>73099.745648295488</v>
      </c>
    </row>
    <row r="20" spans="1:6" x14ac:dyDescent="0.6">
      <c r="A20" t="s">
        <v>15</v>
      </c>
      <c r="B20" s="1">
        <v>53091840</v>
      </c>
      <c r="C20" s="1">
        <v>1688</v>
      </c>
      <c r="D20" s="1">
        <v>1231</v>
      </c>
      <c r="E20" s="5">
        <f t="shared" si="1"/>
        <v>5954</v>
      </c>
      <c r="F20" s="5">
        <f t="shared" si="0"/>
        <v>112145.29389073726</v>
      </c>
    </row>
    <row r="21" spans="1:6" x14ac:dyDescent="0.6">
      <c r="A21" t="s">
        <v>16</v>
      </c>
      <c r="B21" s="1">
        <v>53091840</v>
      </c>
      <c r="C21" s="1">
        <v>252</v>
      </c>
      <c r="D21" s="1">
        <v>-81</v>
      </c>
      <c r="E21" s="5">
        <f t="shared" si="1"/>
        <v>5152</v>
      </c>
      <c r="F21" s="5">
        <f t="shared" si="0"/>
        <v>97039.394377742414</v>
      </c>
    </row>
    <row r="22" spans="1:6" x14ac:dyDescent="0.6">
      <c r="A22" t="s">
        <v>17</v>
      </c>
      <c r="B22" s="1">
        <v>53091840</v>
      </c>
      <c r="C22" s="1">
        <v>1103</v>
      </c>
      <c r="D22" s="1">
        <v>759</v>
      </c>
      <c r="E22" s="5">
        <f t="shared" si="1"/>
        <v>3295</v>
      </c>
      <c r="F22" s="5">
        <f t="shared" si="0"/>
        <v>62062.267949274312</v>
      </c>
    </row>
    <row r="23" spans="1:6" x14ac:dyDescent="0.6">
      <c r="A23" t="s">
        <v>18</v>
      </c>
      <c r="B23" s="1">
        <v>53091840</v>
      </c>
      <c r="C23" s="1">
        <v>1738</v>
      </c>
      <c r="D23" s="1">
        <v>1357</v>
      </c>
      <c r="E23" s="5">
        <f t="shared" si="1"/>
        <v>4196</v>
      </c>
      <c r="F23" s="5">
        <f t="shared" si="0"/>
        <v>79032.860793673754</v>
      </c>
    </row>
    <row r="24" spans="1:6" x14ac:dyDescent="0.6">
      <c r="B24" s="1"/>
      <c r="C24" s="1"/>
      <c r="D24" s="1"/>
      <c r="E24" s="5"/>
      <c r="F24" s="5"/>
    </row>
    <row r="25" spans="1:6" x14ac:dyDescent="0.6">
      <c r="B25" s="1"/>
      <c r="C25" s="1"/>
      <c r="D25" s="1"/>
      <c r="E25" s="5"/>
      <c r="F25" s="5"/>
    </row>
    <row r="26" spans="1:6" x14ac:dyDescent="0.6">
      <c r="B26" s="1"/>
      <c r="C26" s="1"/>
      <c r="D26" s="1"/>
      <c r="E26" s="5"/>
      <c r="F26" s="5"/>
    </row>
    <row r="27" spans="1:6" x14ac:dyDescent="0.6">
      <c r="B27" s="1"/>
      <c r="C27" s="1"/>
      <c r="F27" s="2"/>
    </row>
    <row r="28" spans="1:6" x14ac:dyDescent="0.6">
      <c r="B28" s="1"/>
      <c r="C28" s="1"/>
      <c r="D2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미스토홀딩스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2025-01-31T15:21:33Z</dcterms:created>
  <dcterms:modified xsi:type="dcterms:W3CDTF">2026-05-18T08:16:34Z</dcterms:modified>
</cp:coreProperties>
</file>