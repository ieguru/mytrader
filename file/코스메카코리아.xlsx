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ECF19040-A1D0-46DF-9D15-B5B29D9779C9}" xr6:coauthVersionLast="47" xr6:coauthVersionMax="47" xr10:uidLastSave="{00000000-0000-0000-0000-000000000000}"/>
  <bookViews>
    <workbookView xWindow="10605" yWindow="675" windowWidth="15878" windowHeight="13455" xr2:uid="{5EFDCE66-F4A1-4F7B-BC91-1CF5544063AA}"/>
  </bookViews>
  <sheets>
    <sheet name="코스메카코리아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F14" i="1" s="1"/>
  <c r="E15" i="1"/>
  <c r="F15" i="1" s="1"/>
  <c r="E16" i="1"/>
  <c r="F16" i="1" s="1"/>
  <c r="E17" i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E3" i="1"/>
  <c r="F3" i="1"/>
  <c r="E2" i="1"/>
  <c r="F2" i="1" s="1"/>
  <c r="F6" i="1"/>
  <c r="F5" i="1"/>
  <c r="F4" i="1"/>
  <c r="F13" i="1"/>
  <c r="F17" i="1"/>
  <c r="F12" i="1"/>
  <c r="F11" i="1"/>
  <c r="F10" i="1"/>
  <c r="F9" i="1"/>
  <c r="F8" i="1"/>
  <c r="F7" i="1"/>
</calcChain>
</file>

<file path=xl/sharedStrings.xml><?xml version="1.0" encoding="utf-8"?>
<sst xmlns="http://schemas.openxmlformats.org/spreadsheetml/2006/main" count="34" uniqueCount="34">
  <si>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</si>
  <si>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</si>
  <si>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</si>
  <si>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</si>
  <si>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</si>
  <si>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</si>
  <si>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</si>
  <si>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</si>
  <si>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</si>
  <si>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</si>
  <si>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</si>
  <si>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</si>
  <si>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</si>
  <si>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</si>
  <si>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</si>
  <si>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</si>
  <si>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</si>
  <si>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</si>
  <si>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</si>
  <si>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</si>
  <si>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</si>
  <si>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2020.3Q</t>
  </si>
  <si>
    <t>2020.2Q</t>
  </si>
  <si>
    <t>2020.1Q</t>
  </si>
  <si>
    <t>상장주식수</t>
    <phoneticPr fontId="18" type="noConversion"/>
  </si>
  <si>
    <t>4Q_income</t>
  </si>
  <si>
    <t>목표가</t>
  </si>
  <si>
    <t>2025.2Q</t>
    <phoneticPr fontId="18" type="noConversion"/>
  </si>
  <si>
    <t>-</t>
  </si>
  <si>
    <t>2026.3Q</t>
    <phoneticPr fontId="18" type="noConversion"/>
  </si>
  <si>
    <t>2026.2Q</t>
    <phoneticPr fontId="18" type="noConversion"/>
  </si>
  <si>
    <t>2026.1Q</t>
    <phoneticPr fontId="18" type="noConversion"/>
  </si>
  <si>
    <t>2025.4Q</t>
    <phoneticPr fontId="18" type="noConversion"/>
  </si>
  <si>
    <t>2025.3Q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</si>
</sst>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03EF5-0ABE-4F53-B689-8E5A5C65B1FB}">
  <dimension ref="A1:F28"/>
  <sheetViews>
    <sheetView tabSelected="1" workbookViewId="0">
      <selection activeCell="I5" sqref="I5"/>
    </sheetView>
  </sheetViews>
  <sheetFormatPr defaultRowHeight="16.899999999999999" x14ac:dyDescent="0.6"/>
  <cols>
    <col min="2" max="2" width="10.25" bestFit="1" customWidth="1"/>
    <col min="4" max="4" width="10.375" customWidth="1"/>
  </cols>
  <sheetData>
    <row r="1" spans="1:6" x14ac:dyDescent="0.6">
      <c r="A1" t="s">
        <v>0</v>
      </c>
      <c r="B1" t="s">
        <v>24</v>
      </c>
      <c r="C1" t="s">
        <v>1</v>
      </c>
      <c r="D1" t="s">
        <v>2</v>
      </c>
      <c r="E1" t="s">
        <v>25</v>
      </c>
      <c r="F1" t="s">
        <v>26</v>
      </c>
    </row>
    <row r="2" spans="1:6" x14ac:dyDescent="0.6">
      <c r="A2" t="s">
        <v>29</v>
      </c>
      <c r="B2" s="1">
        <v>10680000</v>
      </c>
      <c r="C2">
        <v>203</v>
      </c>
      <c r="D2">
        <v>191</v>
      </c>
      <c r="E2">
        <f>SUM(C2:C3)*2</f>
        <v>942</v>
      </c>
      <c r="F2" s="2">
        <f>E2*100000000/B2*10</f>
        <v>88202.247191011236</v>
      </c>
    </row>
    <row r="3" spans="1:6" x14ac:dyDescent="0.6">
      <c r="A3" t="s">
        <v>30</v>
      </c>
      <c r="B3" s="1">
        <v>10680000</v>
      </c>
      <c r="C3">
        <v>268</v>
      </c>
      <c r="D3">
        <v>157</v>
      </c>
      <c r="E3">
        <f>SUM(C2:C3)*2</f>
        <v>942</v>
      </c>
      <c r="F3" s="2">
        <f>E3*100000000/B3*10</f>
        <v>88202.247191011236</v>
      </c>
    </row>
    <row r="4" spans="1:6" x14ac:dyDescent="0.6">
      <c r="A4" t="s">
        <v>31</v>
      </c>
      <c r="B4" s="1">
        <v>10680000</v>
      </c>
      <c r="C4">
        <v>206</v>
      </c>
      <c r="D4">
        <v>132</v>
      </c>
      <c r="E4">
        <f t="shared" ref="E4:E28" si="0">SUM(C3:C4)*2</f>
        <v>948</v>
      </c>
      <c r="F4" s="2">
        <f t="shared" ref="F4:F6" si="1">E4*100000000/B4*10</f>
        <v>88764.044943820219</v>
      </c>
    </row>
    <row r="5" spans="1:6" x14ac:dyDescent="0.6">
      <c r="A5" t="s">
        <v>32</v>
      </c>
      <c r="B5" s="1">
        <v>10680000</v>
      </c>
      <c r="C5">
        <v>210</v>
      </c>
      <c r="D5">
        <v>117</v>
      </c>
      <c r="E5">
        <f t="shared" si="0"/>
        <v>832</v>
      </c>
      <c r="F5" s="2">
        <f t="shared" si="1"/>
        <v>77902.621722846437</v>
      </c>
    </row>
    <row r="6" spans="1:6" x14ac:dyDescent="0.6">
      <c r="A6" t="s">
        <v>33</v>
      </c>
      <c r="B6" s="1">
        <v>10680000</v>
      </c>
      <c r="C6">
        <v>271</v>
      </c>
      <c r="D6">
        <v>167</v>
      </c>
      <c r="E6">
        <f t="shared" si="0"/>
        <v>962</v>
      </c>
      <c r="F6" s="2">
        <f t="shared" si="1"/>
        <v>90074.9063670412</v>
      </c>
    </row>
    <row r="7" spans="1:6" x14ac:dyDescent="0.6">
      <c r="A7" t="s">
        <v>27</v>
      </c>
      <c r="B7" s="1">
        <v>10680000</v>
      </c>
      <c r="C7">
        <v>230</v>
      </c>
      <c r="D7">
        <v>93.4</v>
      </c>
      <c r="E7">
        <f t="shared" si="0"/>
        <v>1002</v>
      </c>
      <c r="F7" s="2">
        <f>E7*100000000/B7*10</f>
        <v>93820.224719101112</v>
      </c>
    </row>
    <row r="8" spans="1:6" x14ac:dyDescent="0.6">
      <c r="A8" t="s">
        <v>3</v>
      </c>
      <c r="B8" s="1">
        <v>10680000</v>
      </c>
      <c r="C8">
        <v>123</v>
      </c>
      <c r="D8">
        <v>76</v>
      </c>
      <c r="E8">
        <f t="shared" si="0"/>
        <v>706</v>
      </c>
      <c r="F8" s="2">
        <f t="shared" ref="F8:F27" si="2">E8*100000000/B8*10</f>
        <v>66104.868913857674</v>
      </c>
    </row>
    <row r="9" spans="1:6" x14ac:dyDescent="0.6">
      <c r="A9" t="s">
        <v>4</v>
      </c>
      <c r="B9" s="1">
        <v>10680000</v>
      </c>
      <c r="C9">
        <v>165</v>
      </c>
      <c r="D9">
        <v>98</v>
      </c>
      <c r="E9">
        <f t="shared" si="0"/>
        <v>576</v>
      </c>
      <c r="F9" s="2">
        <f t="shared" si="2"/>
        <v>53932.584269662919</v>
      </c>
    </row>
    <row r="10" spans="1:6" x14ac:dyDescent="0.6">
      <c r="A10" t="s">
        <v>5</v>
      </c>
      <c r="B10" s="1">
        <v>10680000</v>
      </c>
      <c r="C10">
        <v>152</v>
      </c>
      <c r="D10">
        <v>86</v>
      </c>
      <c r="E10">
        <f t="shared" si="0"/>
        <v>634</v>
      </c>
      <c r="F10" s="2">
        <f t="shared" si="2"/>
        <v>59363.295880149817</v>
      </c>
    </row>
    <row r="11" spans="1:6" x14ac:dyDescent="0.6">
      <c r="A11" t="s">
        <v>6</v>
      </c>
      <c r="B11" s="1">
        <v>10680000</v>
      </c>
      <c r="C11">
        <v>181</v>
      </c>
      <c r="D11">
        <v>163</v>
      </c>
      <c r="E11">
        <f t="shared" si="0"/>
        <v>666</v>
      </c>
      <c r="F11" s="2">
        <f t="shared" si="2"/>
        <v>62359.550561797747</v>
      </c>
    </row>
    <row r="12" spans="1:6" x14ac:dyDescent="0.6">
      <c r="A12" t="s">
        <v>7</v>
      </c>
      <c r="B12" s="1">
        <v>10680000</v>
      </c>
      <c r="C12">
        <v>137</v>
      </c>
      <c r="D12">
        <v>126</v>
      </c>
      <c r="E12">
        <f t="shared" si="0"/>
        <v>636</v>
      </c>
      <c r="F12" s="2">
        <f t="shared" si="2"/>
        <v>59550.561797752809</v>
      </c>
    </row>
    <row r="13" spans="1:6" x14ac:dyDescent="0.6">
      <c r="A13" t="s">
        <v>8</v>
      </c>
      <c r="B13" s="1">
        <v>10680000</v>
      </c>
      <c r="C13">
        <v>150</v>
      </c>
      <c r="D13">
        <v>61</v>
      </c>
      <c r="E13">
        <f t="shared" si="0"/>
        <v>574</v>
      </c>
      <c r="F13" s="2">
        <f t="shared" si="2"/>
        <v>53745.31835205992</v>
      </c>
    </row>
    <row r="14" spans="1:6" x14ac:dyDescent="0.6">
      <c r="A14" t="s">
        <v>9</v>
      </c>
      <c r="B14" s="1">
        <v>10680000</v>
      </c>
      <c r="C14">
        <v>137</v>
      </c>
      <c r="D14">
        <v>118</v>
      </c>
      <c r="E14">
        <f t="shared" si="0"/>
        <v>574</v>
      </c>
      <c r="F14" s="2">
        <f t="shared" si="2"/>
        <v>53745.31835205992</v>
      </c>
    </row>
    <row r="15" spans="1:6" x14ac:dyDescent="0.6">
      <c r="A15" t="s">
        <v>10</v>
      </c>
      <c r="B15" s="1">
        <v>10680000</v>
      </c>
      <c r="C15">
        <v>112</v>
      </c>
      <c r="D15">
        <v>86</v>
      </c>
      <c r="E15">
        <f t="shared" si="0"/>
        <v>498</v>
      </c>
      <c r="F15" s="2">
        <f t="shared" si="2"/>
        <v>46629.213483146072</v>
      </c>
    </row>
    <row r="16" spans="1:6" x14ac:dyDescent="0.6">
      <c r="A16" t="s">
        <v>11</v>
      </c>
      <c r="B16" s="1">
        <v>10680000</v>
      </c>
      <c r="C16">
        <v>93</v>
      </c>
      <c r="D16">
        <v>74</v>
      </c>
      <c r="E16">
        <f t="shared" si="0"/>
        <v>410</v>
      </c>
      <c r="F16" s="2">
        <f t="shared" si="2"/>
        <v>38389.513108614236</v>
      </c>
    </row>
    <row r="17" spans="1:6" x14ac:dyDescent="0.6">
      <c r="A17" t="s">
        <v>12</v>
      </c>
      <c r="B17" s="1">
        <v>10680000</v>
      </c>
      <c r="C17">
        <v>38</v>
      </c>
      <c r="D17">
        <v>-2</v>
      </c>
      <c r="E17">
        <f t="shared" si="0"/>
        <v>262</v>
      </c>
      <c r="F17" s="2">
        <f t="shared" si="2"/>
        <v>24531.835205992509</v>
      </c>
    </row>
    <row r="18" spans="1:6" x14ac:dyDescent="0.6">
      <c r="A18" t="s">
        <v>13</v>
      </c>
      <c r="B18" s="1">
        <v>10680000</v>
      </c>
      <c r="C18">
        <v>29</v>
      </c>
      <c r="D18">
        <v>33</v>
      </c>
      <c r="E18">
        <f t="shared" si="0"/>
        <v>134</v>
      </c>
      <c r="F18" s="2">
        <f t="shared" si="2"/>
        <v>12546.81647940075</v>
      </c>
    </row>
    <row r="19" spans="1:6" x14ac:dyDescent="0.6">
      <c r="A19" t="s">
        <v>14</v>
      </c>
      <c r="B19" s="1">
        <v>10680000</v>
      </c>
      <c r="C19">
        <v>31</v>
      </c>
      <c r="D19">
        <v>28</v>
      </c>
      <c r="E19">
        <f t="shared" si="0"/>
        <v>120</v>
      </c>
      <c r="F19" s="2">
        <f t="shared" si="2"/>
        <v>11235.955056179775</v>
      </c>
    </row>
    <row r="20" spans="1:6" x14ac:dyDescent="0.6">
      <c r="A20" t="s">
        <v>15</v>
      </c>
      <c r="B20" s="1">
        <v>10680000</v>
      </c>
      <c r="C20">
        <v>6</v>
      </c>
      <c r="D20">
        <v>1</v>
      </c>
      <c r="E20">
        <f t="shared" si="0"/>
        <v>74</v>
      </c>
      <c r="F20" s="2">
        <f t="shared" si="2"/>
        <v>6928.8389513108614</v>
      </c>
    </row>
    <row r="21" spans="1:6" x14ac:dyDescent="0.6">
      <c r="A21" t="s">
        <v>16</v>
      </c>
      <c r="B21" s="1">
        <v>10680000</v>
      </c>
      <c r="C21">
        <v>14</v>
      </c>
      <c r="D21">
        <v>35</v>
      </c>
      <c r="E21">
        <f t="shared" si="0"/>
        <v>40</v>
      </c>
      <c r="F21" s="2">
        <f t="shared" si="2"/>
        <v>3745.3183520599255</v>
      </c>
    </row>
    <row r="22" spans="1:6" x14ac:dyDescent="0.6">
      <c r="A22" t="s">
        <v>17</v>
      </c>
      <c r="B22" s="1">
        <v>10680000</v>
      </c>
      <c r="C22">
        <v>66</v>
      </c>
      <c r="D22">
        <v>62</v>
      </c>
      <c r="E22">
        <f t="shared" si="0"/>
        <v>160</v>
      </c>
      <c r="F22" s="2">
        <f t="shared" si="2"/>
        <v>14981.273408239702</v>
      </c>
    </row>
    <row r="23" spans="1:6" x14ac:dyDescent="0.6">
      <c r="A23" t="s">
        <v>18</v>
      </c>
      <c r="B23" s="1">
        <v>10680000</v>
      </c>
      <c r="C23">
        <v>88</v>
      </c>
      <c r="D23">
        <v>46</v>
      </c>
      <c r="E23">
        <f t="shared" si="0"/>
        <v>308</v>
      </c>
      <c r="F23" s="2">
        <f t="shared" si="2"/>
        <v>28838.951310861419</v>
      </c>
    </row>
    <row r="24" spans="1:6" x14ac:dyDescent="0.6">
      <c r="A24" t="s">
        <v>19</v>
      </c>
      <c r="B24" s="1">
        <v>10680000</v>
      </c>
      <c r="C24">
        <v>34</v>
      </c>
      <c r="D24">
        <v>28</v>
      </c>
      <c r="E24">
        <f t="shared" si="0"/>
        <v>244</v>
      </c>
      <c r="F24" s="2">
        <f t="shared" si="2"/>
        <v>22846.441947565545</v>
      </c>
    </row>
    <row r="25" spans="1:6" x14ac:dyDescent="0.6">
      <c r="A25" t="s">
        <v>20</v>
      </c>
      <c r="B25" s="1">
        <v>10680000</v>
      </c>
      <c r="C25">
        <v>24</v>
      </c>
      <c r="D25">
        <v>7</v>
      </c>
      <c r="E25">
        <f t="shared" si="0"/>
        <v>116</v>
      </c>
      <c r="F25" s="2">
        <f t="shared" si="2"/>
        <v>10861.423220973784</v>
      </c>
    </row>
    <row r="26" spans="1:6" x14ac:dyDescent="0.6">
      <c r="A26" t="s">
        <v>21</v>
      </c>
      <c r="B26" s="1">
        <v>10680000</v>
      </c>
      <c r="C26">
        <v>19</v>
      </c>
      <c r="D26" t="s">
        <v>28</v>
      </c>
      <c r="E26">
        <f t="shared" si="0"/>
        <v>86</v>
      </c>
      <c r="F26" s="2">
        <f t="shared" si="2"/>
        <v>8052.4344569288396</v>
      </c>
    </row>
    <row r="27" spans="1:6" x14ac:dyDescent="0.6">
      <c r="A27" t="s">
        <v>22</v>
      </c>
      <c r="B27" s="1">
        <v>10680000</v>
      </c>
      <c r="C27">
        <v>22</v>
      </c>
      <c r="D27">
        <v>4</v>
      </c>
      <c r="E27">
        <f t="shared" si="0"/>
        <v>82</v>
      </c>
      <c r="F27" s="2">
        <f t="shared" si="2"/>
        <v>7677.9026217228466</v>
      </c>
    </row>
    <row r="28" spans="1:6" x14ac:dyDescent="0.6">
      <c r="A28" t="s">
        <v>23</v>
      </c>
      <c r="B28" s="1">
        <v>10680000</v>
      </c>
      <c r="C28">
        <v>34</v>
      </c>
      <c r="D28">
        <v>23</v>
      </c>
      <c r="E28">
        <f t="shared" si="0"/>
        <v>112</v>
      </c>
      <c r="F28" s="2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코스메카코리아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2025-01-28T10:38:30Z</dcterms:created>
  <dcterms:modified xsi:type="dcterms:W3CDTF">2026-05-11T14:27:13Z</dcterms:modified>
</cp:coreProperties>
</file>