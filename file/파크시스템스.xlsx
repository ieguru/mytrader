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0. JupyterNotebook\Finance\"/>
    </mc:Choice>
  </mc:AlternateContent>
  <xr:revisionPtr revIDLastSave="0" documentId="13_ncr:1_{F4DDFC5B-68EC-4645-8385-E81102D4FA49}" xr6:coauthVersionLast="47" xr6:coauthVersionMax="47" xr10:uidLastSave="{00000000-0000-0000-0000-000000000000}"/>
  <bookViews>
    <workbookView xWindow="13695" yWindow="3150" windowWidth="13635" windowHeight="7260" xr2:uid="{D3AF1327-C308-42CF-AFA5-FE59593F7F78}"/>
  </bookViews>
  <sheets>
    <sheet name="파크시스템스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F5" i="1" s="1"/>
  <c r="E6" i="1"/>
  <c r="F6" i="1" s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F19" i="1" s="1"/>
  <c r="E20" i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4" i="1"/>
  <c r="E3" i="1"/>
  <c r="E2" i="1"/>
  <c r="F2" i="1" s="1"/>
  <c r="F9" i="1"/>
  <c r="F10" i="1"/>
  <c r="F12" i="1"/>
  <c r="F17" i="1"/>
  <c r="F18" i="1"/>
  <c r="F20" i="1"/>
  <c r="F4" i="1"/>
  <c r="F3" i="1"/>
  <c r="F13" i="1"/>
  <c r="F14" i="1"/>
  <c r="F15" i="1"/>
  <c r="F16" i="1"/>
  <c r="F7" i="1"/>
  <c r="F8" i="1"/>
  <c r="F11" i="1"/>
</calcChain>
</file>

<file path=xl/sharedStrings.xml><?xml version="1.0" encoding="utf-8"?>
<sst xmlns="http://schemas.openxmlformats.org/spreadsheetml/2006/main" count="34" uniqueCount="34">
  <si>
    <t>분기</t>
  </si>
  <si>
    <t>상장주식수</t>
  </si>
  <si>
    <t>영업이익</t>
  </si>
  <si>
    <t>순이익</t>
  </si>
  <si>
    <t>4Q_income</t>
  </si>
  <si>
    <t>목표가</t>
  </si>
  <si>
    <t>2025.2Q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</si>
  <si>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</si>
  <si>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</si>
  <si>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</si>
  <si>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</si>
  <si>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</si>
  <si>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</si>
  <si>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</si>
  <si>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</si>
  <si>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</si>
  <si>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</si>
  <si>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</si>
  <si>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</si>
  <si>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</si>
  <si>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</si>
  <si>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</si>
  <si>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</si>
  <si>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</si>
  <si>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</si>
  <si>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2020.3Q</t>
  </si>
  <si>
    <t>2020.2Q</t>
  </si>
  <si>
    <t>2020.1Q</t>
  </si>
  <si>
    <t>2025.3Q</t>
    <phoneticPr fontId="18" type="noConversion"/>
  </si>
  <si>
    <t>2025.4Q</t>
    <phoneticPr fontId="18" type="noConversion"/>
  </si>
  <si>
    <t>2026.1Q</t>
    <phoneticPr fontId="18" type="noConversion"/>
  </si>
  <si>
    <t>2026.2Q</t>
    <phoneticPr fontId="18" type="noConversion"/>
  </si>
  <si>
    <t>2026.3Q</t>
    <phoneticPr fontId="18" type="noConversion"/>
  </si>
  <si>
    <t>2026.4Q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</si>
</sst>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3" fontId="0" fillId="0" borderId="0" xfId="0" applyNumberFormat="1">
      <alignment vertical="center"/>
    </xf>
    <xf numFmtId="1" fontId="0" fillId="0" borderId="0" xfId="0" applyNumberFormat="1">
      <alignment vertical="center"/>
    </xf>
    <xf numFmtId="41" fontId="0" fillId="0" borderId="0" xfId="42" applyFon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DDA833-32CD-41F0-8697-E13F527EEF91}">
  <dimension ref="A1:F29"/>
  <sheetViews>
    <sheetView tabSelected="1" workbookViewId="0">
      <selection activeCell="F4" sqref="F4"/>
    </sheetView>
  </sheetViews>
  <sheetFormatPr defaultRowHeight="16.899999999999999" x14ac:dyDescent="0.6"/>
  <cols>
    <col min="2" max="2" width="12.375" customWidth="1"/>
  </cols>
  <sheetData>
    <row r="1" spans="1:6" x14ac:dyDescent="0.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6">
      <c r="A2" t="s">
        <v>33</v>
      </c>
      <c r="B2" s="1">
        <v>6987577</v>
      </c>
      <c r="C2">
        <v>237</v>
      </c>
      <c r="D2">
        <v>237</v>
      </c>
      <c r="E2">
        <f>C2*2+C3*2</f>
        <v>900</v>
      </c>
      <c r="F2" s="3">
        <f>E2*100000000/B2*35</f>
        <v>450800.04127324821</v>
      </c>
    </row>
    <row r="3" spans="1:6" x14ac:dyDescent="0.6">
      <c r="A3" t="s">
        <v>32</v>
      </c>
      <c r="B3" s="1">
        <v>6987577</v>
      </c>
      <c r="C3">
        <v>213</v>
      </c>
      <c r="D3">
        <v>194</v>
      </c>
      <c r="E3">
        <f>C3*2+C2*2</f>
        <v>900</v>
      </c>
      <c r="F3" s="3">
        <f>E3*100000000/B3*35</f>
        <v>450800.04127324821</v>
      </c>
    </row>
    <row r="4" spans="1:6" x14ac:dyDescent="0.6">
      <c r="A4" t="s">
        <v>31</v>
      </c>
      <c r="B4" s="1">
        <v>6987577</v>
      </c>
      <c r="C4">
        <v>104</v>
      </c>
      <c r="D4">
        <v>78</v>
      </c>
      <c r="E4">
        <f>C2+ C3*2+C4</f>
        <v>767</v>
      </c>
      <c r="F4" s="3">
        <f t="shared" ref="F4:F27" si="0">E4*100000000/B4*35</f>
        <v>384181.81295175711</v>
      </c>
    </row>
    <row r="5" spans="1:6" x14ac:dyDescent="0.6">
      <c r="A5" t="s">
        <v>30</v>
      </c>
      <c r="B5" s="1">
        <v>6987577</v>
      </c>
      <c r="C5">
        <v>21</v>
      </c>
      <c r="D5">
        <v>51</v>
      </c>
      <c r="E5">
        <f t="shared" ref="E5:E27" si="1">C3+ C4*2+C5</f>
        <v>442</v>
      </c>
      <c r="F5" s="3">
        <f t="shared" si="0"/>
        <v>221392.90915863967</v>
      </c>
    </row>
    <row r="6" spans="1:6" x14ac:dyDescent="0.6">
      <c r="A6" t="s">
        <v>29</v>
      </c>
      <c r="B6" s="1">
        <v>6987577</v>
      </c>
      <c r="C6">
        <v>84</v>
      </c>
      <c r="D6">
        <v>58</v>
      </c>
      <c r="E6">
        <f t="shared" si="1"/>
        <v>230</v>
      </c>
      <c r="F6" s="3">
        <f t="shared" si="0"/>
        <v>115204.45499205233</v>
      </c>
    </row>
    <row r="7" spans="1:6" x14ac:dyDescent="0.6">
      <c r="A7" t="s">
        <v>28</v>
      </c>
      <c r="B7" s="1">
        <v>6987577</v>
      </c>
      <c r="C7">
        <v>86</v>
      </c>
      <c r="D7">
        <v>96</v>
      </c>
      <c r="E7">
        <f t="shared" si="1"/>
        <v>275</v>
      </c>
      <c r="F7" s="3">
        <f t="shared" si="0"/>
        <v>137744.45705571474</v>
      </c>
    </row>
    <row r="8" spans="1:6" x14ac:dyDescent="0.6">
      <c r="A8" t="s">
        <v>6</v>
      </c>
      <c r="B8" s="1">
        <v>6987577</v>
      </c>
      <c r="C8">
        <v>119</v>
      </c>
      <c r="D8">
        <v>40</v>
      </c>
      <c r="E8">
        <f t="shared" si="1"/>
        <v>375</v>
      </c>
      <c r="F8" s="3">
        <f t="shared" si="0"/>
        <v>187833.35053052008</v>
      </c>
    </row>
    <row r="9" spans="1:6" x14ac:dyDescent="0.6">
      <c r="A9" t="s">
        <v>7</v>
      </c>
      <c r="B9" s="1">
        <v>6987577</v>
      </c>
      <c r="C9">
        <v>131</v>
      </c>
      <c r="D9">
        <v>149</v>
      </c>
      <c r="E9">
        <f t="shared" si="1"/>
        <v>455</v>
      </c>
      <c r="F9" s="3">
        <f t="shared" si="0"/>
        <v>227904.46531036438</v>
      </c>
    </row>
    <row r="10" spans="1:6" x14ac:dyDescent="0.6">
      <c r="A10" t="s">
        <v>8</v>
      </c>
      <c r="B10" s="1">
        <v>6987577</v>
      </c>
      <c r="C10">
        <v>170</v>
      </c>
      <c r="D10">
        <v>130</v>
      </c>
      <c r="E10">
        <f t="shared" si="1"/>
        <v>551</v>
      </c>
      <c r="F10" s="3">
        <f t="shared" si="0"/>
        <v>275989.80304617755</v>
      </c>
    </row>
    <row r="11" spans="1:6" x14ac:dyDescent="0.6">
      <c r="A11" t="s">
        <v>9</v>
      </c>
      <c r="B11" s="1">
        <v>6987577</v>
      </c>
      <c r="C11">
        <v>87</v>
      </c>
      <c r="D11">
        <v>63</v>
      </c>
      <c r="E11">
        <f t="shared" si="1"/>
        <v>558</v>
      </c>
      <c r="F11" s="3">
        <f t="shared" si="0"/>
        <v>279496.02558941388</v>
      </c>
    </row>
    <row r="12" spans="1:6" x14ac:dyDescent="0.6">
      <c r="A12" t="s">
        <v>10</v>
      </c>
      <c r="B12" s="1">
        <v>6987577</v>
      </c>
      <c r="C12">
        <v>127</v>
      </c>
      <c r="D12">
        <v>134</v>
      </c>
      <c r="E12">
        <f t="shared" si="1"/>
        <v>471</v>
      </c>
      <c r="F12" s="3">
        <f t="shared" si="0"/>
        <v>235918.68826633322</v>
      </c>
    </row>
    <row r="13" spans="1:6" x14ac:dyDescent="0.6">
      <c r="A13" t="s">
        <v>11</v>
      </c>
      <c r="B13" s="1">
        <v>6987577</v>
      </c>
      <c r="C13">
        <v>5</v>
      </c>
      <c r="D13">
        <v>27</v>
      </c>
      <c r="E13">
        <f t="shared" si="1"/>
        <v>346</v>
      </c>
      <c r="F13" s="3">
        <f t="shared" si="0"/>
        <v>173307.57142282653</v>
      </c>
    </row>
    <row r="14" spans="1:6" x14ac:dyDescent="0.6">
      <c r="A14" t="s">
        <v>12</v>
      </c>
      <c r="B14" s="1">
        <v>6987577</v>
      </c>
      <c r="C14">
        <v>98</v>
      </c>
      <c r="D14">
        <v>80</v>
      </c>
      <c r="E14">
        <f t="shared" si="1"/>
        <v>235</v>
      </c>
      <c r="F14" s="3">
        <f t="shared" si="0"/>
        <v>117708.89966579259</v>
      </c>
    </row>
    <row r="15" spans="1:6" x14ac:dyDescent="0.6">
      <c r="A15" t="s">
        <v>13</v>
      </c>
      <c r="B15" s="1">
        <v>6987577</v>
      </c>
      <c r="C15">
        <v>55</v>
      </c>
      <c r="D15">
        <v>63</v>
      </c>
      <c r="E15">
        <f t="shared" si="1"/>
        <v>256</v>
      </c>
      <c r="F15" s="3">
        <f t="shared" si="0"/>
        <v>128227.56729550172</v>
      </c>
    </row>
    <row r="16" spans="1:6" x14ac:dyDescent="0.6">
      <c r="A16" t="s">
        <v>14</v>
      </c>
      <c r="B16" s="1">
        <v>6987577</v>
      </c>
      <c r="C16">
        <v>101</v>
      </c>
      <c r="D16">
        <v>76</v>
      </c>
      <c r="E16">
        <f t="shared" si="1"/>
        <v>309</v>
      </c>
      <c r="F16" s="3">
        <f t="shared" si="0"/>
        <v>154774.68083714857</v>
      </c>
    </row>
    <row r="17" spans="1:6" x14ac:dyDescent="0.6">
      <c r="A17" t="s">
        <v>15</v>
      </c>
      <c r="B17" s="1">
        <v>6987577</v>
      </c>
      <c r="C17">
        <v>22</v>
      </c>
      <c r="D17">
        <v>26</v>
      </c>
      <c r="E17">
        <f t="shared" si="1"/>
        <v>279</v>
      </c>
      <c r="F17" s="3">
        <f t="shared" si="0"/>
        <v>139748.01279470694</v>
      </c>
    </row>
    <row r="18" spans="1:6" x14ac:dyDescent="0.6">
      <c r="A18" t="s">
        <v>16</v>
      </c>
      <c r="B18" s="1">
        <v>6987577</v>
      </c>
      <c r="C18">
        <v>184</v>
      </c>
      <c r="D18">
        <v>77</v>
      </c>
      <c r="E18">
        <f t="shared" si="1"/>
        <v>329</v>
      </c>
      <c r="F18" s="3">
        <f t="shared" si="0"/>
        <v>164792.45953210964</v>
      </c>
    </row>
    <row r="19" spans="1:6" x14ac:dyDescent="0.6">
      <c r="A19" t="s">
        <v>17</v>
      </c>
      <c r="B19" s="1">
        <v>6987577</v>
      </c>
      <c r="C19">
        <v>135</v>
      </c>
      <c r="D19">
        <v>172</v>
      </c>
      <c r="E19">
        <f t="shared" si="1"/>
        <v>525</v>
      </c>
      <c r="F19" s="3">
        <f t="shared" si="0"/>
        <v>262966.69074272813</v>
      </c>
    </row>
    <row r="20" spans="1:6" x14ac:dyDescent="0.6">
      <c r="A20" t="s">
        <v>18</v>
      </c>
      <c r="B20" s="1">
        <v>6987577</v>
      </c>
      <c r="C20">
        <v>1</v>
      </c>
      <c r="D20">
        <v>28</v>
      </c>
      <c r="E20">
        <f t="shared" si="1"/>
        <v>455</v>
      </c>
      <c r="F20" s="3">
        <f t="shared" si="0"/>
        <v>227904.46531036438</v>
      </c>
    </row>
    <row r="21" spans="1:6" x14ac:dyDescent="0.6">
      <c r="A21" t="s">
        <v>19</v>
      </c>
      <c r="B21" s="1">
        <v>6987577</v>
      </c>
      <c r="C21">
        <v>6</v>
      </c>
      <c r="D21">
        <v>3</v>
      </c>
      <c r="E21">
        <f t="shared" si="1"/>
        <v>143</v>
      </c>
      <c r="F21" s="3">
        <f t="shared" si="0"/>
        <v>71627.117668971667</v>
      </c>
    </row>
    <row r="22" spans="1:6" x14ac:dyDescent="0.6">
      <c r="A22" t="s">
        <v>20</v>
      </c>
      <c r="B22" s="1">
        <v>6987577</v>
      </c>
      <c r="C22">
        <v>124</v>
      </c>
      <c r="D22">
        <v>45</v>
      </c>
      <c r="E22">
        <f t="shared" si="1"/>
        <v>137</v>
      </c>
      <c r="F22" s="3">
        <f t="shared" si="0"/>
        <v>68621.784060483333</v>
      </c>
    </row>
    <row r="23" spans="1:6" x14ac:dyDescent="0.6">
      <c r="A23" t="s">
        <v>21</v>
      </c>
      <c r="B23" s="1">
        <v>6987577</v>
      </c>
      <c r="C23">
        <v>48</v>
      </c>
      <c r="D23">
        <v>93</v>
      </c>
      <c r="E23">
        <f t="shared" si="1"/>
        <v>302</v>
      </c>
      <c r="F23" s="3">
        <f t="shared" si="0"/>
        <v>151268.45829391218</v>
      </c>
    </row>
    <row r="24" spans="1:6" x14ac:dyDescent="0.6">
      <c r="A24" t="s">
        <v>22</v>
      </c>
      <c r="B24" s="1">
        <v>6987577</v>
      </c>
      <c r="C24">
        <v>-10</v>
      </c>
      <c r="D24">
        <v>12</v>
      </c>
      <c r="E24">
        <f t="shared" si="1"/>
        <v>210</v>
      </c>
      <c r="F24" s="3">
        <f t="shared" si="0"/>
        <v>105186.67629709125</v>
      </c>
    </row>
    <row r="25" spans="1:6" x14ac:dyDescent="0.6">
      <c r="A25" t="s">
        <v>23</v>
      </c>
      <c r="B25" s="1">
        <v>6987577</v>
      </c>
      <c r="C25">
        <v>14</v>
      </c>
      <c r="D25">
        <v>-59</v>
      </c>
      <c r="E25">
        <f t="shared" si="1"/>
        <v>42</v>
      </c>
      <c r="F25" s="3">
        <f t="shared" si="0"/>
        <v>21037.335259418251</v>
      </c>
    </row>
    <row r="26" spans="1:6" x14ac:dyDescent="0.6">
      <c r="A26" t="s">
        <v>24</v>
      </c>
      <c r="B26" s="1">
        <v>6987577</v>
      </c>
      <c r="C26">
        <v>57</v>
      </c>
      <c r="D26">
        <v>8</v>
      </c>
      <c r="E26">
        <f t="shared" si="1"/>
        <v>75</v>
      </c>
      <c r="F26" s="3">
        <f t="shared" si="0"/>
        <v>37566.670106104022</v>
      </c>
    </row>
    <row r="27" spans="1:6" x14ac:dyDescent="0.6">
      <c r="A27" t="s">
        <v>25</v>
      </c>
      <c r="B27" s="1">
        <v>6987577</v>
      </c>
      <c r="C27">
        <v>40</v>
      </c>
      <c r="D27">
        <v>37</v>
      </c>
      <c r="E27">
        <f t="shared" si="1"/>
        <v>168</v>
      </c>
      <c r="F27" s="3">
        <f t="shared" si="0"/>
        <v>84149.341037673003</v>
      </c>
    </row>
    <row r="28" spans="1:6" x14ac:dyDescent="0.6">
      <c r="A28" t="s">
        <v>26</v>
      </c>
      <c r="B28" s="1">
        <v>6987577</v>
      </c>
      <c r="C28">
        <v>40</v>
      </c>
      <c r="D28">
        <v>34</v>
      </c>
      <c r="F28" s="2"/>
    </row>
    <row r="29" spans="1:6" x14ac:dyDescent="0.6">
      <c r="A29" t="s">
        <v>27</v>
      </c>
      <c r="B29" s="1">
        <v>6987577</v>
      </c>
      <c r="C29">
        <v>13</v>
      </c>
      <c r="D29">
        <v>21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파크시스템스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2025-01-28T09:43:57Z</dcterms:created>
  <dcterms:modified xsi:type="dcterms:W3CDTF">2026-05-24T03:33:54Z</dcterms:modified>
</cp:coreProperties>
</file>