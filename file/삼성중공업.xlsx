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0. JupyterNotebook\Finance\"/>
    </mc:Choice>
  </mc:AlternateContent>
  <xr:revisionPtr revIDLastSave="0" documentId="13_ncr:1_{C272469E-F66F-4E5A-8405-C6101C5D2F9C}" xr6:coauthVersionLast="47" xr6:coauthVersionMax="47" xr10:uidLastSave="{00000000-0000-0000-0000-000000000000}"/>
  <bookViews>
    <workbookView xWindow="28702" yWindow="-98" windowWidth="28995" windowHeight="16395" xr2:uid="{C8D1CA31-9A8D-48BC-97FC-23CBA29A2F93}"/>
  </bookViews>
  <sheets>
    <sheet name="삼성중공업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" i="1"/>
  <c r="E2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</calcChain>
</file>

<file path=xl/sharedStrings.xml><?xml version="1.0" encoding="utf-8"?>
<sst xmlns="http://schemas.openxmlformats.org/spreadsheetml/2006/main" count="30" uniqueCount="30">
  <si>
    <t>분기</t>
  </si>
  <si>
    <t>영업이익</t>
  </si>
  <si>
    <t>순이익</t>
  </si>
  <si>
    <t>2025.1Q</t>
  </si>
  <si>
    <t>2024.4Q</t>
  </si>
  <si>
    <t>2024.3Q</t>
  </si>
  <si>
    <t>2024.2Q</t>
  </si>
  <si>
    <t>2024.1Q</t>
  </si>
  <si>
    <t>2023.4Q</t>
  </si>
  <si>
    <t>2023.3Q</t>
  </si>
  <si>
    <t>2023.2Q</t>
  </si>
  <si>
    <t>2023.1Q</t>
  </si>
  <si>
    <t>2022.4Q</t>
  </si>
  <si>
    <t>2022.3Q</t>
  </si>
  <si>
    <t>2022.2Q</t>
  </si>
  <si>
    <t>2022.1Q</t>
  </si>
  <si>
    <t>2021.4Q</t>
  </si>
  <si>
    <t>2021.3Q</t>
  </si>
  <si>
    <t>2021.2Q</t>
  </si>
  <si>
    <t>2021.1Q</t>
  </si>
  <si>
    <t>2020.4Q</t>
  </si>
  <si>
    <t>2025.2Q</t>
  </si>
  <si>
    <t>상장주식수</t>
  </si>
  <si>
    <t>4Q_income</t>
  </si>
  <si>
    <t>목표가</t>
  </si>
  <si>
    <t>2025.3Q</t>
    <phoneticPr fontId="18" type="noConversion"/>
  </si>
  <si>
    <t>2025.4Q</t>
    <phoneticPr fontId="18" type="noConversion"/>
  </si>
  <si>
    <t>2026.1Q</t>
    <phoneticPr fontId="18" type="noConversion"/>
  </si>
  <si>
    <t>2026.2Q</t>
    <phoneticPr fontId="18" type="noConversion"/>
  </si>
  <si>
    <t>2026.3Q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</si>
</sst>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 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3" tint="0.249977111117893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3" fontId="0" fillId="0" borderId="0" xfId="0" applyNumberFormat="1">
      <alignment vertical="center"/>
    </xf>
    <xf numFmtId="1" fontId="0" fillId="0" borderId="0" xfId="0" applyNumberFormat="1">
      <alignment vertical="center"/>
    </xf>
    <xf numFmtId="176" fontId="0" fillId="0" borderId="0" xfId="0" applyNumberFormat="1">
      <alignment vertical="center"/>
    </xf>
    <xf numFmtId="4" fontId="0" fillId="0" borderId="0" xfId="0" applyNumberFormat="1">
      <alignment vertical="center"/>
    </xf>
    <xf numFmtId="41" fontId="0" fillId="0" borderId="0" xfId="42" applyFont="1">
      <alignment vertical="center"/>
    </xf>
    <xf numFmtId="41" fontId="14" fillId="33" borderId="0" xfId="42" applyFont="1" applyFill="1">
      <alignment vertical="center"/>
    </xf>
    <xf numFmtId="3" fontId="19" fillId="0" borderId="0" xfId="0" applyNumberFormat="1" applyFont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858E8-FF85-482C-BAF4-EC0D5C6A9C6E}">
  <dimension ref="A1:F28"/>
  <sheetViews>
    <sheetView tabSelected="1" workbookViewId="0">
      <selection activeCell="H13" sqref="H13"/>
    </sheetView>
  </sheetViews>
  <sheetFormatPr defaultRowHeight="16.899999999999999" x14ac:dyDescent="0.6"/>
  <cols>
    <col min="2" max="2" width="12.875" bestFit="1" customWidth="1"/>
  </cols>
  <sheetData>
    <row r="1" spans="1:6" x14ac:dyDescent="0.6">
      <c r="A1" t="s">
        <v>0</v>
      </c>
      <c r="B1" t="s">
        <v>22</v>
      </c>
      <c r="C1" t="s">
        <v>1</v>
      </c>
      <c r="D1" t="s">
        <v>2</v>
      </c>
      <c r="E1" t="s">
        <v>23</v>
      </c>
      <c r="F1" t="s">
        <v>24</v>
      </c>
    </row>
    <row r="2" spans="1:6" x14ac:dyDescent="0.6">
      <c r="A2" t="s">
        <v>29</v>
      </c>
      <c r="B2" s="1">
        <v>880000000</v>
      </c>
      <c r="C2" s="5">
        <v>3942.4</v>
      </c>
      <c r="D2" s="5">
        <v>2775.5</v>
      </c>
      <c r="E2" s="3">
        <f>(C2*2+C3*2)</f>
        <v>15933.6</v>
      </c>
      <c r="F2" s="3">
        <f>E2*100000000/B2*15</f>
        <v>27159.545454545456</v>
      </c>
    </row>
    <row r="3" spans="1:6" x14ac:dyDescent="0.6">
      <c r="A3" t="s">
        <v>28</v>
      </c>
      <c r="B3" s="1">
        <v>880000000</v>
      </c>
      <c r="C3" s="6">
        <v>4024.4</v>
      </c>
      <c r="D3" s="5">
        <v>3062.2</v>
      </c>
      <c r="E3" s="3">
        <f>(C3*2+C4*2)</f>
        <v>14984.400000000001</v>
      </c>
      <c r="F3" s="3">
        <f t="shared" ref="F3:F25" si="0">E3*100000000/B3*15</f>
        <v>25541.590909090912</v>
      </c>
    </row>
    <row r="4" spans="1:6" x14ac:dyDescent="0.6">
      <c r="A4" t="s">
        <v>27</v>
      </c>
      <c r="B4" s="1">
        <v>880000000</v>
      </c>
      <c r="C4" s="6">
        <v>3467.8</v>
      </c>
      <c r="D4" s="5">
        <v>2641.4</v>
      </c>
      <c r="E4" s="3">
        <f>(C3*2+C4*2)</f>
        <v>14984.400000000001</v>
      </c>
      <c r="F4" s="3">
        <f t="shared" si="0"/>
        <v>25541.590909090912</v>
      </c>
    </row>
    <row r="5" spans="1:6" x14ac:dyDescent="0.6">
      <c r="A5" t="s">
        <v>26</v>
      </c>
      <c r="B5" s="1">
        <v>880000000</v>
      </c>
      <c r="C5" s="5">
        <v>2962.4</v>
      </c>
      <c r="D5" s="7">
        <v>973.2</v>
      </c>
      <c r="E5" s="3">
        <f>(C4*2+C5+C3)</f>
        <v>13922.4</v>
      </c>
      <c r="F5" s="3">
        <f t="shared" si="0"/>
        <v>23731.363636363636</v>
      </c>
    </row>
    <row r="6" spans="1:6" x14ac:dyDescent="0.6">
      <c r="A6" t="s">
        <v>25</v>
      </c>
      <c r="B6" s="1">
        <v>880000000</v>
      </c>
      <c r="C6" s="5">
        <v>2380.8000000000002</v>
      </c>
      <c r="D6" s="1">
        <v>1420.1</v>
      </c>
      <c r="E6" s="3">
        <f>(C4+C5+C6*2)</f>
        <v>11191.800000000001</v>
      </c>
      <c r="F6" s="3">
        <f t="shared" si="0"/>
        <v>19076.931818181816</v>
      </c>
    </row>
    <row r="7" spans="1:6" x14ac:dyDescent="0.6">
      <c r="A7" t="s">
        <v>21</v>
      </c>
      <c r="B7" s="1">
        <v>880000000</v>
      </c>
      <c r="C7" s="5">
        <v>2048.1999999999998</v>
      </c>
      <c r="D7" s="4">
        <v>2141.1</v>
      </c>
      <c r="E7" s="3">
        <f t="shared" ref="E7:E25" si="1">(C5+C6+C7*2)</f>
        <v>9439.6</v>
      </c>
      <c r="F7" s="3">
        <f t="shared" si="0"/>
        <v>16090.227272727274</v>
      </c>
    </row>
    <row r="8" spans="1:6" x14ac:dyDescent="0.6">
      <c r="A8" t="s">
        <v>3</v>
      </c>
      <c r="B8" s="1">
        <v>880000000</v>
      </c>
      <c r="C8" s="5">
        <v>1230.8</v>
      </c>
      <c r="D8" s="1">
        <v>921</v>
      </c>
      <c r="E8" s="3">
        <f t="shared" si="1"/>
        <v>6890.6</v>
      </c>
      <c r="F8" s="3">
        <f t="shared" si="0"/>
        <v>11745.340909090908</v>
      </c>
    </row>
    <row r="9" spans="1:6" x14ac:dyDescent="0.6">
      <c r="A9" t="s">
        <v>4</v>
      </c>
      <c r="B9" s="1">
        <v>880000000</v>
      </c>
      <c r="C9" s="5">
        <v>1742.3</v>
      </c>
      <c r="D9" s="1">
        <v>-966.1</v>
      </c>
      <c r="E9" s="3">
        <f t="shared" si="1"/>
        <v>6763.6</v>
      </c>
      <c r="F9" s="3">
        <f t="shared" si="0"/>
        <v>11528.863636363636</v>
      </c>
    </row>
    <row r="10" spans="1:6" x14ac:dyDescent="0.6">
      <c r="A10" t="s">
        <v>5</v>
      </c>
      <c r="B10" s="1">
        <v>880000000</v>
      </c>
      <c r="C10" s="5">
        <v>1199</v>
      </c>
      <c r="D10" s="1">
        <v>714</v>
      </c>
      <c r="E10" s="3">
        <f t="shared" si="1"/>
        <v>5371.1</v>
      </c>
      <c r="F10" s="3">
        <f t="shared" si="0"/>
        <v>9155.2840909090919</v>
      </c>
    </row>
    <row r="11" spans="1:6" x14ac:dyDescent="0.6">
      <c r="A11" t="s">
        <v>6</v>
      </c>
      <c r="B11" s="1">
        <v>880000000</v>
      </c>
      <c r="C11" s="5">
        <v>1307</v>
      </c>
      <c r="D11" s="1">
        <v>740</v>
      </c>
      <c r="E11" s="3">
        <f t="shared" si="1"/>
        <v>5555.3</v>
      </c>
      <c r="F11" s="3">
        <f t="shared" si="0"/>
        <v>9469.261363636364</v>
      </c>
    </row>
    <row r="12" spans="1:6" x14ac:dyDescent="0.6">
      <c r="A12" t="s">
        <v>7</v>
      </c>
      <c r="B12" s="1">
        <v>880000000</v>
      </c>
      <c r="C12" s="5">
        <v>779</v>
      </c>
      <c r="D12" s="1">
        <v>78</v>
      </c>
      <c r="E12" s="3">
        <f t="shared" si="1"/>
        <v>4064</v>
      </c>
      <c r="F12" s="3">
        <f t="shared" si="0"/>
        <v>6927.272727272727</v>
      </c>
    </row>
    <row r="13" spans="1:6" x14ac:dyDescent="0.6">
      <c r="A13" t="s">
        <v>8</v>
      </c>
      <c r="B13" s="1">
        <v>880000000</v>
      </c>
      <c r="C13" s="5">
        <v>790</v>
      </c>
      <c r="D13" s="1">
        <v>-2236</v>
      </c>
      <c r="E13" s="3">
        <f t="shared" si="1"/>
        <v>3666</v>
      </c>
      <c r="F13" s="3">
        <f t="shared" si="0"/>
        <v>6248.863636363636</v>
      </c>
    </row>
    <row r="14" spans="1:6" x14ac:dyDescent="0.6">
      <c r="A14" t="s">
        <v>9</v>
      </c>
      <c r="B14" s="1">
        <v>880000000</v>
      </c>
      <c r="C14" s="5">
        <v>759</v>
      </c>
      <c r="D14" s="1">
        <v>356</v>
      </c>
      <c r="E14" s="3">
        <f t="shared" si="1"/>
        <v>3087</v>
      </c>
      <c r="F14" s="3">
        <f t="shared" si="0"/>
        <v>5261.931818181818</v>
      </c>
    </row>
    <row r="15" spans="1:6" x14ac:dyDescent="0.6">
      <c r="A15" t="s">
        <v>10</v>
      </c>
      <c r="B15" s="1">
        <v>880000000</v>
      </c>
      <c r="C15" s="5">
        <v>589</v>
      </c>
      <c r="D15" s="1">
        <v>232</v>
      </c>
      <c r="E15" s="3">
        <f t="shared" si="1"/>
        <v>2727</v>
      </c>
      <c r="F15" s="3">
        <f t="shared" si="0"/>
        <v>4648.295454545454</v>
      </c>
    </row>
    <row r="16" spans="1:6" x14ac:dyDescent="0.6">
      <c r="A16" t="s">
        <v>11</v>
      </c>
      <c r="B16" s="1">
        <v>880000000</v>
      </c>
      <c r="C16" s="5">
        <v>196</v>
      </c>
      <c r="D16" s="1">
        <v>93</v>
      </c>
      <c r="E16" s="3">
        <f t="shared" si="1"/>
        <v>1740</v>
      </c>
      <c r="F16" s="3">
        <f t="shared" si="0"/>
        <v>2965.909090909091</v>
      </c>
    </row>
    <row r="17" spans="1:6" x14ac:dyDescent="0.6">
      <c r="A17" t="s">
        <v>12</v>
      </c>
      <c r="B17" s="1">
        <v>880000000</v>
      </c>
      <c r="C17" s="1">
        <v>-3359</v>
      </c>
      <c r="D17" s="1">
        <v>-2828</v>
      </c>
      <c r="E17" s="3">
        <f t="shared" si="1"/>
        <v>-5933</v>
      </c>
      <c r="F17" s="3">
        <f t="shared" si="0"/>
        <v>-10113.068181818182</v>
      </c>
    </row>
    <row r="18" spans="1:6" x14ac:dyDescent="0.6">
      <c r="A18" t="s">
        <v>13</v>
      </c>
      <c r="B18" s="1">
        <v>880000000</v>
      </c>
      <c r="C18" s="1">
        <v>-1679</v>
      </c>
      <c r="D18" s="1">
        <v>-2016</v>
      </c>
      <c r="E18" s="3">
        <f t="shared" si="1"/>
        <v>-6521</v>
      </c>
      <c r="F18" s="3">
        <f t="shared" si="0"/>
        <v>-11115.340909090908</v>
      </c>
    </row>
    <row r="19" spans="1:6" x14ac:dyDescent="0.6">
      <c r="A19" t="s">
        <v>14</v>
      </c>
      <c r="B19" s="1">
        <v>880000000</v>
      </c>
      <c r="C19" s="1">
        <v>-2557</v>
      </c>
      <c r="D19" s="1">
        <v>-391</v>
      </c>
      <c r="E19" s="3">
        <f t="shared" si="1"/>
        <v>-10152</v>
      </c>
      <c r="F19" s="3">
        <f t="shared" si="0"/>
        <v>-17304.545454545456</v>
      </c>
    </row>
    <row r="20" spans="1:6" x14ac:dyDescent="0.6">
      <c r="A20" t="s">
        <v>15</v>
      </c>
      <c r="B20" s="1">
        <v>880000000</v>
      </c>
      <c r="C20" s="1">
        <v>-949</v>
      </c>
      <c r="D20" s="1">
        <v>-1039</v>
      </c>
      <c r="E20" s="3">
        <f t="shared" si="1"/>
        <v>-6134</v>
      </c>
      <c r="F20" s="3">
        <f t="shared" si="0"/>
        <v>-10455.681818181818</v>
      </c>
    </row>
    <row r="21" spans="1:6" x14ac:dyDescent="0.6">
      <c r="A21" t="s">
        <v>16</v>
      </c>
      <c r="B21" s="1">
        <v>880000000</v>
      </c>
      <c r="C21" s="1">
        <v>-2571</v>
      </c>
      <c r="D21" s="1">
        <v>-3450</v>
      </c>
      <c r="E21" s="3">
        <f t="shared" si="1"/>
        <v>-8648</v>
      </c>
      <c r="F21" s="3">
        <f t="shared" si="0"/>
        <v>-14740.909090909092</v>
      </c>
    </row>
    <row r="22" spans="1:6" x14ac:dyDescent="0.6">
      <c r="A22" t="s">
        <v>17</v>
      </c>
      <c r="B22" s="1">
        <v>880000000</v>
      </c>
      <c r="C22" s="1">
        <v>-1102</v>
      </c>
      <c r="D22" s="1">
        <v>-1238</v>
      </c>
      <c r="E22" s="3">
        <f t="shared" si="1"/>
        <v>-5724</v>
      </c>
      <c r="F22" s="3">
        <f t="shared" si="0"/>
        <v>-9756.818181818182</v>
      </c>
    </row>
    <row r="23" spans="1:6" x14ac:dyDescent="0.6">
      <c r="A23" t="s">
        <v>18</v>
      </c>
      <c r="B23" s="1">
        <v>880000000</v>
      </c>
      <c r="C23" s="1">
        <v>-4379</v>
      </c>
      <c r="D23" s="1">
        <v>-4474</v>
      </c>
      <c r="E23" s="3">
        <f t="shared" si="1"/>
        <v>-12431</v>
      </c>
      <c r="F23" s="3">
        <f t="shared" si="0"/>
        <v>-21189.204545454544</v>
      </c>
    </row>
    <row r="24" spans="1:6" x14ac:dyDescent="0.6">
      <c r="A24" t="s">
        <v>19</v>
      </c>
      <c r="B24" s="1">
        <v>880000000</v>
      </c>
      <c r="C24" s="1">
        <v>-5068</v>
      </c>
      <c r="D24" s="1">
        <v>-5359</v>
      </c>
      <c r="E24" s="3">
        <f t="shared" si="1"/>
        <v>-15617</v>
      </c>
      <c r="F24" s="3">
        <f t="shared" si="0"/>
        <v>-26619.886363636364</v>
      </c>
    </row>
    <row r="25" spans="1:6" x14ac:dyDescent="0.6">
      <c r="A25" t="s">
        <v>20</v>
      </c>
      <c r="B25" s="1">
        <v>880000000</v>
      </c>
      <c r="C25" s="1">
        <v>-2851</v>
      </c>
      <c r="D25" s="1">
        <v>-5541</v>
      </c>
      <c r="E25" s="3">
        <f t="shared" si="1"/>
        <v>-15149</v>
      </c>
      <c r="F25" s="3">
        <f t="shared" si="0"/>
        <v>-25822.159090909092</v>
      </c>
    </row>
    <row r="26" spans="1:6" x14ac:dyDescent="0.6">
      <c r="B26" s="1"/>
      <c r="C26" s="1"/>
      <c r="D26" s="1"/>
      <c r="E26" s="1"/>
      <c r="F26" s="3"/>
    </row>
    <row r="27" spans="1:6" x14ac:dyDescent="0.6">
      <c r="B27" s="1"/>
      <c r="C27" s="1"/>
      <c r="D27" s="1"/>
      <c r="F27" s="2"/>
    </row>
    <row r="28" spans="1:6" x14ac:dyDescent="0.6">
      <c r="B28" s="1"/>
      <c r="C28" s="1"/>
      <c r="D28" s="1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삼성중공업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김해중</cp:lastModifiedBy>
  <dcterms:created xsi:type="dcterms:W3CDTF">2025-01-31T15:24:20Z</dcterms:created>
  <dcterms:modified xsi:type="dcterms:W3CDTF">2026-04-10T22:00:29Z</dcterms:modified>
</cp:coreProperties>
</file>