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CF605C0D-CCA3-43CA-8D21-9822503B03F2}" xr6:coauthVersionLast="47" xr6:coauthVersionMax="47" xr10:uidLastSave="{00000000-0000-0000-0000-000000000000}"/>
  <bookViews>
    <workbookView xWindow="8153" yWindow="1882" windowWidth="15405" windowHeight="11866" xr2:uid="{9932730E-C7A8-4520-9866-4FD08128D9E6}"/>
  </bookViews>
  <sheets>
    <sheet name="HPS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4" i="1"/>
  <c r="E3" i="1"/>
  <c r="E2" i="1"/>
</calcChain>
</file>

<file path=xl/sharedStrings.xml><?xml version="1.0" encoding="utf-8"?>
<sst xmlns="http://schemas.openxmlformats.org/spreadsheetml/2006/main" count="33" uniqueCount="33">
  <si>
    <t>분기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</si>
  <si>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</si>
  <si>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</si>
  <si>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</si>
  <si>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</si>
  <si>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</si>
  <si>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</si>
  <si>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</si>
  <si>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</si>
  <si>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</si>
  <si>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</si>
  <si>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</si>
  <si>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</si>
  <si>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</si>
  <si>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</si>
  <si>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</si>
  <si>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</si>
  <si>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</si>
  <si>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</si>
  <si>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</si>
  <si>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</si>
  <si>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</si>
  <si>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</si>
  <si>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4Q_income</t>
  </si>
  <si>
    <t>목표가</t>
  </si>
  <si>
    <t>2025.2Q</t>
    <phoneticPr fontId="18" type="noConversion"/>
  </si>
  <si>
    <t>2025.3Q</t>
    <phoneticPr fontId="18" type="noConversion"/>
  </si>
  <si>
    <t>2026.3Q</t>
    <phoneticPr fontId="18" type="noConversion"/>
  </si>
  <si>
    <t>2026.2Q</t>
    <phoneticPr fontId="18" type="noConversion"/>
  </si>
  <si>
    <t>2026.1Q</t>
    <phoneticPr fontId="18" type="noConversion"/>
  </si>
  <si>
    <t>2025.4Q</t>
    <phoneticPr fontId="18" type="noConversion"/>
  </si>
  <si>
    <t>영업이익</t>
    <phoneticPr fontId="18" type="noConversion"/>
  </si>
  <si>
    <t>주식수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</si>
</sst>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3" fontId="0" fillId="0" borderId="0" xfId="0" applyNumberForma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9F97-BCFD-488B-902E-FB10336D3A6E}">
  <dimension ref="A1:F28"/>
  <sheetViews>
    <sheetView tabSelected="1" workbookViewId="0">
      <selection activeCell="H9" sqref="H9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32</v>
      </c>
      <c r="C1" t="s">
        <v>31</v>
      </c>
      <c r="D1" t="s">
        <v>1</v>
      </c>
      <c r="E1" t="s">
        <v>23</v>
      </c>
      <c r="F1" t="s">
        <v>24</v>
      </c>
    </row>
    <row r="2" spans="1:6" x14ac:dyDescent="0.6">
      <c r="A2" t="s">
        <v>27</v>
      </c>
      <c r="B2" s="2">
        <v>82300000</v>
      </c>
      <c r="C2" s="3">
        <v>393</v>
      </c>
      <c r="D2" s="3">
        <v>337</v>
      </c>
      <c r="E2" s="3">
        <f>C2*2+C3*2</f>
        <v>1260</v>
      </c>
      <c r="F2" s="3">
        <f>E2*100000000/B2*30</f>
        <v>45929.526123936819</v>
      </c>
    </row>
    <row r="3" spans="1:6" x14ac:dyDescent="0.6">
      <c r="A3" t="s">
        <v>28</v>
      </c>
      <c r="B3" s="2">
        <v>82300000</v>
      </c>
      <c r="C3" s="3">
        <v>237</v>
      </c>
      <c r="D3" s="3">
        <v>201</v>
      </c>
      <c r="E3" s="3">
        <f>C3*2+C2*2</f>
        <v>1260</v>
      </c>
      <c r="F3" s="3">
        <f t="shared" ref="F3:F17" si="0">E3*100000000/B3*30</f>
        <v>45929.526123936819</v>
      </c>
    </row>
    <row r="4" spans="1:6" x14ac:dyDescent="0.6">
      <c r="A4" t="s">
        <v>29</v>
      </c>
      <c r="B4" s="2">
        <v>82300000</v>
      </c>
      <c r="C4" s="3">
        <v>127</v>
      </c>
      <c r="D4" s="3">
        <v>126</v>
      </c>
      <c r="E4" s="3">
        <f>C4+C3*2+C2</f>
        <v>994</v>
      </c>
      <c r="F4" s="3">
        <f t="shared" si="0"/>
        <v>36233.292831105711</v>
      </c>
    </row>
    <row r="5" spans="1:6" x14ac:dyDescent="0.6">
      <c r="A5" t="s">
        <v>30</v>
      </c>
      <c r="B5" s="2">
        <v>82300000</v>
      </c>
      <c r="C5" s="3">
        <v>274</v>
      </c>
      <c r="D5" s="3">
        <v>233</v>
      </c>
      <c r="E5" s="3">
        <f t="shared" ref="E5:E17" si="1">C5+C4*2+C3</f>
        <v>765</v>
      </c>
      <c r="F5" s="3">
        <f t="shared" si="0"/>
        <v>27885.783718104496</v>
      </c>
    </row>
    <row r="6" spans="1:6" x14ac:dyDescent="0.6">
      <c r="A6" t="s">
        <v>26</v>
      </c>
      <c r="B6" s="2">
        <v>82300000</v>
      </c>
      <c r="C6" s="3">
        <v>151</v>
      </c>
      <c r="D6" s="3">
        <v>134</v>
      </c>
      <c r="E6" s="3">
        <f t="shared" si="1"/>
        <v>826</v>
      </c>
      <c r="F6" s="3">
        <f t="shared" si="0"/>
        <v>30109.356014580801</v>
      </c>
    </row>
    <row r="7" spans="1:6" x14ac:dyDescent="0.6">
      <c r="A7" t="s">
        <v>25</v>
      </c>
      <c r="B7" s="2">
        <v>82300000</v>
      </c>
      <c r="C7" s="3">
        <v>286</v>
      </c>
      <c r="D7" s="3">
        <v>207</v>
      </c>
      <c r="E7" s="3">
        <f t="shared" si="1"/>
        <v>862</v>
      </c>
      <c r="F7" s="3">
        <f t="shared" si="0"/>
        <v>31421.628189550425</v>
      </c>
    </row>
    <row r="8" spans="1:6" x14ac:dyDescent="0.6">
      <c r="A8" t="s">
        <v>2</v>
      </c>
      <c r="B8" s="2">
        <v>82300000</v>
      </c>
      <c r="C8" s="3">
        <v>187</v>
      </c>
      <c r="D8" s="3">
        <v>152</v>
      </c>
      <c r="E8" s="3">
        <f t="shared" si="1"/>
        <v>910</v>
      </c>
      <c r="F8" s="3">
        <f t="shared" si="0"/>
        <v>33171.32442284326</v>
      </c>
    </row>
    <row r="9" spans="1:6" x14ac:dyDescent="0.6">
      <c r="A9" t="s">
        <v>3</v>
      </c>
      <c r="B9" s="2">
        <v>82300000</v>
      </c>
      <c r="C9" s="3">
        <v>319</v>
      </c>
      <c r="D9" s="3">
        <v>250</v>
      </c>
      <c r="E9" s="3">
        <f t="shared" si="1"/>
        <v>979</v>
      </c>
      <c r="F9" s="3">
        <f t="shared" si="0"/>
        <v>35686.512758201701</v>
      </c>
    </row>
    <row r="10" spans="1:6" x14ac:dyDescent="0.6">
      <c r="A10" t="s">
        <v>4</v>
      </c>
      <c r="B10" s="2">
        <v>82300000</v>
      </c>
      <c r="C10" s="3">
        <v>262</v>
      </c>
      <c r="D10" s="3">
        <v>171</v>
      </c>
      <c r="E10" s="3">
        <f t="shared" si="1"/>
        <v>1087</v>
      </c>
      <c r="F10" s="3">
        <f t="shared" si="0"/>
        <v>39623.329283110565</v>
      </c>
    </row>
    <row r="11" spans="1:6" x14ac:dyDescent="0.6">
      <c r="A11" t="s">
        <v>5</v>
      </c>
      <c r="B11" s="2">
        <v>82300000</v>
      </c>
      <c r="C11" s="3">
        <v>121</v>
      </c>
      <c r="D11" s="3">
        <v>144</v>
      </c>
      <c r="E11" s="3">
        <f t="shared" si="1"/>
        <v>964</v>
      </c>
      <c r="F11" s="3">
        <f t="shared" si="0"/>
        <v>35139.732685297691</v>
      </c>
    </row>
    <row r="12" spans="1:6" x14ac:dyDescent="0.6">
      <c r="A12" t="s">
        <v>6</v>
      </c>
      <c r="B12" s="2">
        <v>82300000</v>
      </c>
      <c r="C12" s="3">
        <v>200</v>
      </c>
      <c r="D12" s="3">
        <v>213</v>
      </c>
      <c r="E12" s="3">
        <f t="shared" si="1"/>
        <v>704</v>
      </c>
      <c r="F12" s="3">
        <f t="shared" si="0"/>
        <v>25662.211421628192</v>
      </c>
    </row>
    <row r="13" spans="1:6" x14ac:dyDescent="0.6">
      <c r="A13" t="s">
        <v>7</v>
      </c>
      <c r="B13" s="2">
        <v>82300000</v>
      </c>
      <c r="C13" s="3">
        <v>121</v>
      </c>
      <c r="D13" s="3">
        <v>64</v>
      </c>
      <c r="E13" s="3">
        <f t="shared" si="1"/>
        <v>642</v>
      </c>
      <c r="F13" s="3">
        <f t="shared" si="0"/>
        <v>23402.187120291615</v>
      </c>
    </row>
    <row r="14" spans="1:6" x14ac:dyDescent="0.6">
      <c r="A14" t="s">
        <v>8</v>
      </c>
      <c r="B14" s="2">
        <v>82300000</v>
      </c>
      <c r="C14" s="3">
        <v>216</v>
      </c>
      <c r="D14" s="3">
        <v>205</v>
      </c>
      <c r="E14" s="3">
        <f t="shared" si="1"/>
        <v>658</v>
      </c>
      <c r="F14" s="3">
        <f t="shared" si="0"/>
        <v>23985.419198055894</v>
      </c>
    </row>
    <row r="15" spans="1:6" x14ac:dyDescent="0.6">
      <c r="A15" t="s">
        <v>9</v>
      </c>
      <c r="B15" s="2">
        <v>82300000</v>
      </c>
      <c r="C15" s="3">
        <v>266</v>
      </c>
      <c r="D15" s="3">
        <v>224</v>
      </c>
      <c r="E15" s="3">
        <f t="shared" si="1"/>
        <v>819</v>
      </c>
      <c r="F15" s="3">
        <f t="shared" si="0"/>
        <v>29854.191980558928</v>
      </c>
    </row>
    <row r="16" spans="1:6" x14ac:dyDescent="0.6">
      <c r="A16" t="s">
        <v>10</v>
      </c>
      <c r="B16" s="2">
        <v>82300000</v>
      </c>
      <c r="C16" s="3">
        <v>349</v>
      </c>
      <c r="D16" s="3">
        <v>311</v>
      </c>
      <c r="E16" s="3">
        <f t="shared" si="1"/>
        <v>1097</v>
      </c>
      <c r="F16" s="3">
        <f t="shared" si="0"/>
        <v>39987.849331713245</v>
      </c>
    </row>
    <row r="17" spans="1:6" x14ac:dyDescent="0.6">
      <c r="A17" t="s">
        <v>11</v>
      </c>
      <c r="B17" s="2">
        <v>82300000</v>
      </c>
      <c r="C17" s="3">
        <v>189</v>
      </c>
      <c r="D17" s="3">
        <v>79</v>
      </c>
      <c r="E17" s="3">
        <f t="shared" si="1"/>
        <v>1153</v>
      </c>
      <c r="F17" s="3">
        <f t="shared" si="0"/>
        <v>42029.161603888213</v>
      </c>
    </row>
    <row r="18" spans="1:6" x14ac:dyDescent="0.6">
      <c r="A18" t="s">
        <v>12</v>
      </c>
      <c r="B18" s="2">
        <v>82300000</v>
      </c>
      <c r="C18">
        <v>286</v>
      </c>
      <c r="D18">
        <v>261</v>
      </c>
      <c r="F18" s="1"/>
    </row>
    <row r="19" spans="1:6" x14ac:dyDescent="0.6">
      <c r="A19" t="s">
        <v>13</v>
      </c>
      <c r="B19" s="2">
        <v>82300000</v>
      </c>
      <c r="C19">
        <v>211</v>
      </c>
      <c r="D19">
        <v>169</v>
      </c>
      <c r="F19" s="1"/>
    </row>
    <row r="20" spans="1:6" x14ac:dyDescent="0.6">
      <c r="A20" t="s">
        <v>14</v>
      </c>
      <c r="B20" s="2">
        <v>82300000</v>
      </c>
      <c r="F20" s="1"/>
    </row>
    <row r="21" spans="1:6" x14ac:dyDescent="0.6">
      <c r="A21" t="s">
        <v>15</v>
      </c>
      <c r="B21" s="2">
        <v>82300000</v>
      </c>
      <c r="F21" s="1"/>
    </row>
    <row r="22" spans="1:6" x14ac:dyDescent="0.6">
      <c r="A22" t="s">
        <v>16</v>
      </c>
      <c r="B22" s="2">
        <v>82300000</v>
      </c>
      <c r="F22" s="1"/>
    </row>
    <row r="23" spans="1:6" x14ac:dyDescent="0.6">
      <c r="A23" t="s">
        <v>17</v>
      </c>
      <c r="B23" s="2">
        <v>82300000</v>
      </c>
      <c r="F23" s="1"/>
    </row>
    <row r="24" spans="1:6" x14ac:dyDescent="0.6">
      <c r="A24" t="s">
        <v>18</v>
      </c>
      <c r="B24" s="2">
        <v>82300000</v>
      </c>
      <c r="F24" s="1"/>
    </row>
    <row r="25" spans="1:6" x14ac:dyDescent="0.6">
      <c r="A25" t="s">
        <v>19</v>
      </c>
      <c r="B25" s="2">
        <v>82300000</v>
      </c>
      <c r="F25" s="1"/>
    </row>
    <row r="26" spans="1:6" x14ac:dyDescent="0.6">
      <c r="A26" t="s">
        <v>20</v>
      </c>
      <c r="B26" s="2">
        <v>82300000</v>
      </c>
      <c r="F26" s="1"/>
    </row>
    <row r="27" spans="1:6" x14ac:dyDescent="0.6">
      <c r="A27" t="s">
        <v>21</v>
      </c>
      <c r="B27" s="2">
        <v>82300000</v>
      </c>
      <c r="F27" s="1"/>
    </row>
    <row r="28" spans="1:6" x14ac:dyDescent="0.6">
      <c r="A28" t="s">
        <v>22</v>
      </c>
      <c r="F28" s="1"/>
    </row>
  </sheetData>
  <phoneticPr fontId="18" type="noConversion"/>
  <conditionalFormatting sqref="C2:C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HPSP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2025-01-28T11:06:39Z</dcterms:created>
  <dcterms:modified xsi:type="dcterms:W3CDTF">2026-05-24T02:20:16Z</dcterms:modified>
</cp:coreProperties>
</file>