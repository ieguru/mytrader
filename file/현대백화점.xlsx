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975F304-2D43-4D46-9035-EFE87D0F3C81}" xr6:coauthVersionLast="47" xr6:coauthVersionMax="47" xr10:uidLastSave="{00000000-0000-0000-0000-000000000000}"/>
  <bookViews>
    <workbookView xWindow="-98" yWindow="-98" windowWidth="28996" windowHeight="15675" xr2:uid="{D3AF1327-C308-42CF-AFA5-FE59593F7F78}"/>
  </bookViews>
  <sheets>
    <sheet name="현대백화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4" i="1"/>
  <c r="E3" i="1"/>
  <c r="E2" i="1"/>
  <c r="F2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5" i="1"/>
</calcChain>
</file>

<file path=xl/sharedStrings.xml><?xml version="1.0" encoding="utf-8"?>
<sst xmlns="http://schemas.openxmlformats.org/spreadsheetml/2006/main" count="34" uniqueCount="34">
  <si>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</si>
  <si>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</si>
  <si>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</si>
  <si>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</si>
  <si>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</si>
  <si>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</si>
  <si>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</si>
  <si>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</si>
  <si>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</si>
  <si>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</si>
  <si>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</si>
  <si>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</si>
  <si>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</si>
  <si>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</si>
  <si>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</si>
  <si>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</si>
  <si>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</si>
  <si>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</si>
  <si>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</si>
  <si>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</si>
  <si>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</si>
  <si>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</si>
  <si>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</si>
  <si>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</si>
  <si>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</si>
  <si>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</si>
  <si>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</si>
  <si>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</si>
  <si>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2025.4Q</t>
  </si>
  <si>
    <t>2025.3Q</t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</si>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</sst>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9"/>
  <sheetViews>
    <sheetView tabSelected="1" workbookViewId="0">
      <selection activeCell="F4" sqref="D4:F4"/>
    </sheetView>
  </sheetViews>
  <sheetFormatPr defaultRowHeight="16.899999999999999" x14ac:dyDescent="0.6"/>
  <cols>
    <col min="2" max="2" width="12.3125" customWidth="1"/>
    <col min="5" max="6" width="9.0625" bestFit="1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33</v>
      </c>
      <c r="B2" s="1">
        <v>22628813</v>
      </c>
      <c r="C2" s="3">
        <v>1509</v>
      </c>
      <c r="D2" s="3">
        <v>809</v>
      </c>
      <c r="E2" s="3">
        <f>(C2*2+C3*2)</f>
        <v>5032</v>
      </c>
      <c r="F2" s="3">
        <f>E2*100000000/B2*8</f>
        <v>177897.09075769904</v>
      </c>
    </row>
    <row r="3" spans="1:6" x14ac:dyDescent="0.6">
      <c r="A3" t="s">
        <v>32</v>
      </c>
      <c r="B3" s="1">
        <v>22628813</v>
      </c>
      <c r="C3" s="3">
        <v>1007</v>
      </c>
      <c r="D3" s="3">
        <v>687</v>
      </c>
      <c r="E3" s="3">
        <f>(C3*2+C2*2)</f>
        <v>5032</v>
      </c>
      <c r="F3" s="3">
        <f t="shared" ref="F3:F27" si="0">E3*100000000/B3*8</f>
        <v>177897.09075769904</v>
      </c>
    </row>
    <row r="4" spans="1:6" x14ac:dyDescent="0.6">
      <c r="A4" t="s">
        <v>31</v>
      </c>
      <c r="B4" s="1">
        <v>22628813</v>
      </c>
      <c r="C4" s="3">
        <v>864</v>
      </c>
      <c r="D4" s="3">
        <v>605</v>
      </c>
      <c r="E4" s="3">
        <f>(C3+C4*2+C2)</f>
        <v>4244</v>
      </c>
      <c r="F4" s="3">
        <f t="shared" si="0"/>
        <v>150038.80230041232</v>
      </c>
    </row>
    <row r="5" spans="1:6" x14ac:dyDescent="0.6">
      <c r="A5" t="s">
        <v>30</v>
      </c>
      <c r="B5" s="1">
        <v>22628813</v>
      </c>
      <c r="C5" s="3">
        <v>987</v>
      </c>
      <c r="D5" s="3">
        <v>682</v>
      </c>
      <c r="E5" s="3">
        <f>(C4+C5*2+C3)</f>
        <v>3845</v>
      </c>
      <c r="F5" s="3">
        <f t="shared" si="0"/>
        <v>135932.89228206535</v>
      </c>
    </row>
    <row r="6" spans="1:6" x14ac:dyDescent="0.6">
      <c r="A6" t="s">
        <v>28</v>
      </c>
      <c r="B6" s="1">
        <v>22628813</v>
      </c>
      <c r="C6" s="3">
        <v>1059</v>
      </c>
      <c r="D6" s="3">
        <v>493.9</v>
      </c>
      <c r="E6" s="3">
        <f t="shared" ref="E6:E27" si="1">(C5+C6*2+C4)</f>
        <v>3969</v>
      </c>
      <c r="F6" s="3">
        <f t="shared" si="0"/>
        <v>140316.68386671453</v>
      </c>
    </row>
    <row r="7" spans="1:6" x14ac:dyDescent="0.6">
      <c r="A7" t="s">
        <v>29</v>
      </c>
      <c r="B7" s="1">
        <v>22628813</v>
      </c>
      <c r="C7" s="3">
        <v>727</v>
      </c>
      <c r="D7" s="3">
        <v>453</v>
      </c>
      <c r="E7" s="3">
        <f t="shared" si="1"/>
        <v>3500</v>
      </c>
      <c r="F7" s="3">
        <f t="shared" si="0"/>
        <v>123736.05279251722</v>
      </c>
    </row>
    <row r="8" spans="1:6" x14ac:dyDescent="0.6">
      <c r="A8" t="s">
        <v>6</v>
      </c>
      <c r="B8" s="1">
        <v>22628813</v>
      </c>
      <c r="C8" s="3">
        <v>869</v>
      </c>
      <c r="D8" s="3">
        <v>545</v>
      </c>
      <c r="E8" s="3">
        <f t="shared" si="1"/>
        <v>3524</v>
      </c>
      <c r="F8" s="3">
        <f t="shared" si="0"/>
        <v>124584.52858309448</v>
      </c>
    </row>
    <row r="9" spans="1:6" x14ac:dyDescent="0.6">
      <c r="A9" t="s">
        <v>7</v>
      </c>
      <c r="B9" s="1">
        <v>22628813</v>
      </c>
      <c r="C9" s="3">
        <v>1125</v>
      </c>
      <c r="D9" s="3">
        <v>883</v>
      </c>
      <c r="E9" s="3">
        <f t="shared" si="1"/>
        <v>3846</v>
      </c>
      <c r="F9" s="3">
        <f t="shared" si="0"/>
        <v>135968.24544000605</v>
      </c>
    </row>
    <row r="10" spans="1:6" x14ac:dyDescent="0.6">
      <c r="A10" t="s">
        <v>8</v>
      </c>
      <c r="B10" s="1">
        <v>22628813</v>
      </c>
      <c r="C10" s="3">
        <v>1077</v>
      </c>
      <c r="D10" s="3">
        <v>455</v>
      </c>
      <c r="E10" s="3">
        <f t="shared" si="1"/>
        <v>4148</v>
      </c>
      <c r="F10" s="3">
        <f t="shared" si="0"/>
        <v>146644.89913810327</v>
      </c>
    </row>
    <row r="11" spans="1:6" x14ac:dyDescent="0.6">
      <c r="A11" t="s">
        <v>9</v>
      </c>
      <c r="B11" s="1">
        <v>22628813</v>
      </c>
      <c r="C11" s="3">
        <v>646</v>
      </c>
      <c r="D11" s="3">
        <v>284</v>
      </c>
      <c r="E11" s="3">
        <f t="shared" si="1"/>
        <v>3494</v>
      </c>
      <c r="F11" s="3">
        <f t="shared" si="0"/>
        <v>123523.93384487291</v>
      </c>
    </row>
    <row r="12" spans="1:6" x14ac:dyDescent="0.6">
      <c r="A12" t="s">
        <v>10</v>
      </c>
      <c r="B12" s="1">
        <v>22628813</v>
      </c>
      <c r="C12" s="3">
        <v>428</v>
      </c>
      <c r="D12" s="3">
        <v>-1454</v>
      </c>
      <c r="E12" s="3">
        <f t="shared" si="1"/>
        <v>2579</v>
      </c>
      <c r="F12" s="3">
        <f t="shared" si="0"/>
        <v>91175.794329114826</v>
      </c>
    </row>
    <row r="13" spans="1:6" x14ac:dyDescent="0.6">
      <c r="A13" t="s">
        <v>11</v>
      </c>
      <c r="B13" s="1">
        <v>22628813</v>
      </c>
      <c r="C13" s="3">
        <v>689</v>
      </c>
      <c r="D13" s="3">
        <v>708</v>
      </c>
      <c r="E13" s="3">
        <f t="shared" si="1"/>
        <v>2452</v>
      </c>
      <c r="F13" s="3">
        <f t="shared" si="0"/>
        <v>86685.943270643489</v>
      </c>
    </row>
    <row r="14" spans="1:6" x14ac:dyDescent="0.6">
      <c r="A14" t="s">
        <v>12</v>
      </c>
      <c r="B14" s="1">
        <v>22628813</v>
      </c>
      <c r="C14" s="3">
        <v>960</v>
      </c>
      <c r="D14" s="3">
        <v>-1978</v>
      </c>
      <c r="E14" s="3">
        <f t="shared" si="1"/>
        <v>3037</v>
      </c>
      <c r="F14" s="3">
        <f t="shared" si="0"/>
        <v>107367.54066596423</v>
      </c>
    </row>
    <row r="15" spans="1:6" x14ac:dyDescent="0.6">
      <c r="A15" t="s">
        <v>13</v>
      </c>
      <c r="B15" s="1">
        <v>22628813</v>
      </c>
      <c r="C15" s="3">
        <v>740</v>
      </c>
      <c r="D15" s="3">
        <v>629</v>
      </c>
      <c r="E15" s="3">
        <f t="shared" si="1"/>
        <v>3129</v>
      </c>
      <c r="F15" s="3">
        <f t="shared" si="0"/>
        <v>110620.03119651039</v>
      </c>
    </row>
    <row r="16" spans="1:6" x14ac:dyDescent="0.6">
      <c r="A16" t="s">
        <v>14</v>
      </c>
      <c r="B16" s="1">
        <v>22628813</v>
      </c>
      <c r="C16" s="3">
        <v>556</v>
      </c>
      <c r="D16" s="3">
        <v>256</v>
      </c>
      <c r="E16" s="3">
        <f t="shared" si="1"/>
        <v>2812</v>
      </c>
      <c r="F16" s="3">
        <f t="shared" si="0"/>
        <v>99413.080129302412</v>
      </c>
    </row>
    <row r="17" spans="1:6" x14ac:dyDescent="0.6">
      <c r="A17" t="s">
        <v>15</v>
      </c>
      <c r="B17" s="1">
        <v>22628813</v>
      </c>
      <c r="C17" s="3">
        <v>779</v>
      </c>
      <c r="D17" s="3">
        <v>695</v>
      </c>
      <c r="E17" s="3">
        <f t="shared" si="1"/>
        <v>2854</v>
      </c>
      <c r="F17" s="3">
        <f t="shared" si="0"/>
        <v>100897.91276281262</v>
      </c>
    </row>
    <row r="18" spans="1:6" x14ac:dyDescent="0.6">
      <c r="A18" t="s">
        <v>16</v>
      </c>
      <c r="B18" s="1">
        <v>22628813</v>
      </c>
      <c r="C18" s="3">
        <v>686</v>
      </c>
      <c r="D18" s="3">
        <v>-123</v>
      </c>
      <c r="E18" s="3">
        <f t="shared" si="1"/>
        <v>2707</v>
      </c>
      <c r="F18" s="3">
        <f t="shared" si="0"/>
        <v>95700.998545526891</v>
      </c>
    </row>
    <row r="19" spans="1:6" x14ac:dyDescent="0.6">
      <c r="A19" t="s">
        <v>17</v>
      </c>
      <c r="B19" s="1">
        <v>22628813</v>
      </c>
      <c r="C19" s="3">
        <v>922</v>
      </c>
      <c r="D19" s="3">
        <v>693</v>
      </c>
      <c r="E19" s="3">
        <f t="shared" si="1"/>
        <v>3309</v>
      </c>
      <c r="F19" s="3">
        <f t="shared" si="0"/>
        <v>116983.59962583985</v>
      </c>
    </row>
    <row r="20" spans="1:6" x14ac:dyDescent="0.6">
      <c r="A20" t="s">
        <v>18</v>
      </c>
      <c r="B20" s="1">
        <v>22628813</v>
      </c>
      <c r="C20" s="3">
        <v>712</v>
      </c>
      <c r="D20" s="3">
        <v>537</v>
      </c>
      <c r="E20" s="3">
        <f t="shared" si="1"/>
        <v>3032</v>
      </c>
      <c r="F20" s="3">
        <f t="shared" si="0"/>
        <v>107190.77487626064</v>
      </c>
    </row>
    <row r="21" spans="1:6" x14ac:dyDescent="0.6">
      <c r="A21" t="s">
        <v>19</v>
      </c>
      <c r="B21" s="1">
        <v>22628813</v>
      </c>
      <c r="C21" s="3">
        <v>889</v>
      </c>
      <c r="D21" s="3">
        <v>754</v>
      </c>
      <c r="E21" s="3">
        <f t="shared" si="1"/>
        <v>3412</v>
      </c>
      <c r="F21" s="3">
        <f t="shared" si="0"/>
        <v>120624.97489373393</v>
      </c>
    </row>
    <row r="22" spans="1:6" x14ac:dyDescent="0.6">
      <c r="A22" t="s">
        <v>20</v>
      </c>
      <c r="B22" s="1">
        <v>22628813</v>
      </c>
      <c r="C22" s="3">
        <v>942</v>
      </c>
      <c r="D22" s="3">
        <v>663</v>
      </c>
      <c r="E22" s="3">
        <f t="shared" si="1"/>
        <v>3485</v>
      </c>
      <c r="F22" s="3">
        <f t="shared" si="0"/>
        <v>123205.75542340643</v>
      </c>
    </row>
    <row r="23" spans="1:6" x14ac:dyDescent="0.6">
      <c r="A23" t="s">
        <v>21</v>
      </c>
      <c r="B23" s="1">
        <v>22628813</v>
      </c>
      <c r="C23" s="3">
        <v>475</v>
      </c>
      <c r="D23" s="3">
        <v>630</v>
      </c>
      <c r="E23" s="3">
        <f t="shared" si="1"/>
        <v>2781</v>
      </c>
      <c r="F23" s="3">
        <f t="shared" si="0"/>
        <v>98317.132233140117</v>
      </c>
    </row>
    <row r="24" spans="1:6" x14ac:dyDescent="0.6">
      <c r="A24" t="s">
        <v>22</v>
      </c>
      <c r="B24" s="1">
        <v>22628813</v>
      </c>
      <c r="C24" s="3">
        <v>577</v>
      </c>
      <c r="D24" s="3">
        <v>483</v>
      </c>
      <c r="E24" s="3">
        <f t="shared" si="1"/>
        <v>2571</v>
      </c>
      <c r="F24" s="3">
        <f t="shared" si="0"/>
        <v>90892.969065589074</v>
      </c>
    </row>
    <row r="25" spans="1:6" x14ac:dyDescent="0.6">
      <c r="A25" t="s">
        <v>23</v>
      </c>
      <c r="B25" s="1">
        <v>22628813</v>
      </c>
      <c r="C25" s="3">
        <v>650</v>
      </c>
      <c r="D25" s="3">
        <v>558</v>
      </c>
      <c r="E25" s="3">
        <f t="shared" si="1"/>
        <v>2352</v>
      </c>
      <c r="F25" s="3">
        <f t="shared" si="0"/>
        <v>83150.627476571579</v>
      </c>
    </row>
    <row r="26" spans="1:6" x14ac:dyDescent="0.6">
      <c r="A26" t="s">
        <v>24</v>
      </c>
      <c r="B26" s="1">
        <v>22628813</v>
      </c>
      <c r="C26" s="3">
        <v>12544</v>
      </c>
      <c r="D26" s="3">
        <v>11834</v>
      </c>
      <c r="E26" s="3">
        <f t="shared" si="1"/>
        <v>26315</v>
      </c>
      <c r="F26" s="3">
        <f t="shared" si="0"/>
        <v>930318.35121002595</v>
      </c>
    </row>
    <row r="27" spans="1:6" x14ac:dyDescent="0.6">
      <c r="A27" t="s">
        <v>25</v>
      </c>
      <c r="B27" s="1">
        <v>22628813</v>
      </c>
      <c r="C27" s="3">
        <v>-3138</v>
      </c>
      <c r="D27" s="3">
        <v>-1888</v>
      </c>
      <c r="E27" s="3">
        <f t="shared" si="1"/>
        <v>6918</v>
      </c>
      <c r="F27" s="3">
        <f t="shared" si="0"/>
        <v>244573.14663389546</v>
      </c>
    </row>
    <row r="28" spans="1:6" x14ac:dyDescent="0.6">
      <c r="A28" t="s">
        <v>26</v>
      </c>
      <c r="B28" s="1">
        <v>22628813</v>
      </c>
      <c r="C28" s="3">
        <v>5903</v>
      </c>
      <c r="D28" s="3">
        <v>3773</v>
      </c>
      <c r="F28" s="2"/>
    </row>
    <row r="29" spans="1:6" x14ac:dyDescent="0.6">
      <c r="A29" t="s">
        <v>27</v>
      </c>
      <c r="B29" s="1">
        <v>22628813</v>
      </c>
      <c r="C29" s="3">
        <v>8638</v>
      </c>
      <c r="D29" s="3">
        <v>5527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현대백화점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2026-08-02T23:56:41Z</dcterms:modified>
</cp:coreProperties>
</file>